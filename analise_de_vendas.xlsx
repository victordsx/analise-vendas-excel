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os\"/>
    </mc:Choice>
  </mc:AlternateContent>
  <xr:revisionPtr revIDLastSave="0" documentId="13_ncr:1_{761B70E0-4A2E-42CF-9952-F76AB9432005}" xr6:coauthVersionLast="47" xr6:coauthVersionMax="47" xr10:uidLastSave="{00000000-0000-0000-0000-000000000000}"/>
  <bookViews>
    <workbookView xWindow="-108" yWindow="-108" windowWidth="23256" windowHeight="12456" activeTab="3" xr2:uid="{37BBCA66-0A9D-4C07-B170-673DF3321EE7}"/>
  </bookViews>
  <sheets>
    <sheet name="Dados_Brutos" sheetId="1" r:id="rId1"/>
    <sheet name="Tratamento" sheetId="2" r:id="rId2"/>
    <sheet name="Analise" sheetId="3" r:id="rId3"/>
    <sheet name="Dashboard" sheetId="4" r:id="rId4"/>
  </sheets>
  <definedNames>
    <definedName name="_xlnm._FilterDatabase" localSheetId="2" hidden="1">Analise!$D$10:$E$13</definedName>
    <definedName name="_xlnm._FilterDatabase" localSheetId="0" hidden="1">Dados_Brutos!$A$1:$G$122</definedName>
    <definedName name="Categoria_que_mais_lucrou">Analise!$B$6</definedName>
    <definedName name="Faturamento_Casa">Analise!$I$21:$J$24</definedName>
    <definedName name="Faturamento_Eletrodomestico">Analise!$I$10:$J$13</definedName>
    <definedName name="Faturamento_Mensal">Analise!$D$2:$I$8</definedName>
    <definedName name="Faturamento_por_categoria">Analise!$D$10:$E$13</definedName>
    <definedName name="Faturamento_por_produto">Analise!$D$15:$E$25</definedName>
    <definedName name="Faturamento_Roupa">Analise!$I$15:$J$19</definedName>
    <definedName name="Faturamento_Total">Analise!$B$3</definedName>
    <definedName name="Mês_que_mais_faturou">Analise!$B$12</definedName>
    <definedName name="Porcentagem_de_metas_atingidas">Analise!$B$15</definedName>
    <definedName name="Produto_que_mais_lucrou">Analise!$B$9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3" i="3"/>
  <c r="E16" i="3"/>
  <c r="E11" i="3"/>
  <c r="E12" i="3"/>
  <c r="E1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3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8" i="3" s="1"/>
  <c r="I8" i="3" s="1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" i="3" s="1"/>
  <c r="I7" i="3" s="1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E18" i="3" s="1"/>
  <c r="H5" i="2"/>
  <c r="E21" i="3" s="1"/>
  <c r="H4" i="2"/>
  <c r="H3" i="2"/>
  <c r="F59" i="1"/>
  <c r="F28" i="1"/>
  <c r="F10" i="1"/>
  <c r="F105" i="1"/>
  <c r="F84" i="1"/>
  <c r="F24" i="1"/>
  <c r="F49" i="1"/>
  <c r="F22" i="1"/>
  <c r="F81" i="1"/>
  <c r="F31" i="1"/>
  <c r="F16" i="1"/>
  <c r="F43" i="1"/>
  <c r="F111" i="1"/>
  <c r="F14" i="1"/>
  <c r="F107" i="1"/>
  <c r="F75" i="1"/>
  <c r="F29" i="1"/>
  <c r="F92" i="1"/>
  <c r="F63" i="1"/>
  <c r="F21" i="1"/>
  <c r="F95" i="1"/>
  <c r="F30" i="1"/>
  <c r="F79" i="1"/>
  <c r="F122" i="1"/>
  <c r="F97" i="1"/>
  <c r="F33" i="1"/>
  <c r="F101" i="1"/>
  <c r="F58" i="1"/>
  <c r="F98" i="1"/>
  <c r="F17" i="1"/>
  <c r="F54" i="1"/>
  <c r="F9" i="1"/>
  <c r="F103" i="1"/>
  <c r="F36" i="1"/>
  <c r="F121" i="1"/>
  <c r="F3" i="1"/>
  <c r="F67" i="1"/>
  <c r="F35" i="1"/>
  <c r="F56" i="1"/>
  <c r="F42" i="1"/>
  <c r="F51" i="1"/>
  <c r="F6" i="1"/>
  <c r="F68" i="1"/>
  <c r="F102" i="1"/>
  <c r="F44" i="1"/>
  <c r="F53" i="1"/>
  <c r="F8" i="1"/>
  <c r="F13" i="1"/>
  <c r="F78" i="1"/>
  <c r="F55" i="1"/>
  <c r="F104" i="1"/>
  <c r="F47" i="1"/>
  <c r="F64" i="1"/>
  <c r="F39" i="1"/>
  <c r="F32" i="1"/>
  <c r="F61" i="1"/>
  <c r="F116" i="1"/>
  <c r="F71" i="1"/>
  <c r="F110" i="1"/>
  <c r="F96" i="1"/>
  <c r="F11" i="1"/>
  <c r="F18" i="1"/>
  <c r="F100" i="1"/>
  <c r="F72" i="1"/>
  <c r="F20" i="1"/>
  <c r="F108" i="1"/>
  <c r="F52" i="1"/>
  <c r="F40" i="1"/>
  <c r="F69" i="1"/>
  <c r="F2" i="1"/>
  <c r="F38" i="1"/>
  <c r="F37" i="1"/>
  <c r="F85" i="1"/>
  <c r="F76" i="1"/>
  <c r="F118" i="1"/>
  <c r="F74" i="1"/>
  <c r="F90" i="1"/>
  <c r="F4" i="1"/>
  <c r="F89" i="1"/>
  <c r="F15" i="1"/>
  <c r="F48" i="1"/>
  <c r="F34" i="1"/>
  <c r="F109" i="1"/>
  <c r="F77" i="1"/>
  <c r="F91" i="1"/>
  <c r="F25" i="1"/>
  <c r="F87" i="1"/>
  <c r="F120" i="1"/>
  <c r="F60" i="1"/>
  <c r="F45" i="1"/>
  <c r="F93" i="1"/>
  <c r="F62" i="1"/>
  <c r="F70" i="1"/>
  <c r="F80" i="1"/>
  <c r="F119" i="1"/>
  <c r="F26" i="1"/>
  <c r="F50" i="1"/>
  <c r="F27" i="1"/>
  <c r="F19" i="1"/>
  <c r="F113" i="1"/>
  <c r="F117" i="1"/>
  <c r="F46" i="1"/>
  <c r="F83" i="1"/>
  <c r="F41" i="1"/>
  <c r="F7" i="1"/>
  <c r="F94" i="1"/>
  <c r="F73" i="1"/>
  <c r="F106" i="1"/>
  <c r="F5" i="1"/>
  <c r="F112" i="1"/>
  <c r="F82" i="1"/>
  <c r="F12" i="1"/>
  <c r="F88" i="1"/>
  <c r="F86" i="1"/>
  <c r="F65" i="1"/>
  <c r="F99" i="1"/>
  <c r="F114" i="1"/>
  <c r="F23" i="1"/>
  <c r="F66" i="1"/>
  <c r="F115" i="1"/>
  <c r="F57" i="1"/>
  <c r="H5" i="3" l="1"/>
  <c r="I5" i="3" s="1"/>
  <c r="H4" i="3"/>
  <c r="I4" i="3" s="1"/>
  <c r="H6" i="3"/>
  <c r="I6" i="3" s="1"/>
  <c r="E24" i="3"/>
  <c r="H3" i="3"/>
  <c r="I3" i="3" s="1"/>
  <c r="E23" i="3"/>
  <c r="E22" i="3"/>
  <c r="E17" i="3"/>
  <c r="E25" i="3"/>
  <c r="E20" i="3"/>
  <c r="E19" i="3"/>
</calcChain>
</file>

<file path=xl/sharedStrings.xml><?xml version="1.0" encoding="utf-8"?>
<sst xmlns="http://schemas.openxmlformats.org/spreadsheetml/2006/main" count="806" uniqueCount="58">
  <si>
    <t>Data</t>
  </si>
  <si>
    <t>Produto</t>
  </si>
  <si>
    <t>Categoria</t>
  </si>
  <si>
    <t>Quantidade</t>
  </si>
  <si>
    <t>Preço Unitário</t>
  </si>
  <si>
    <t>Forma de Pagamento</t>
  </si>
  <si>
    <t>Geladeira</t>
  </si>
  <si>
    <t>Microondas</t>
  </si>
  <si>
    <t>Air Fryer</t>
  </si>
  <si>
    <t>Cama</t>
  </si>
  <si>
    <t>Camisa</t>
  </si>
  <si>
    <t>Bermuda</t>
  </si>
  <si>
    <t>Calça</t>
  </si>
  <si>
    <t>Moletom</t>
  </si>
  <si>
    <t>Guarda-roupa</t>
  </si>
  <si>
    <t>Escrivaninha</t>
  </si>
  <si>
    <t>Roupa</t>
  </si>
  <si>
    <t>Eletrodoméstico</t>
  </si>
  <si>
    <t>Casa</t>
  </si>
  <si>
    <t>Cartão de Crédito</t>
  </si>
  <si>
    <t>Boleto Bancário</t>
  </si>
  <si>
    <t>Preços</t>
  </si>
  <si>
    <t>Faturamento da Venda</t>
  </si>
  <si>
    <t>Meta Mensal</t>
  </si>
  <si>
    <t>Mês</t>
  </si>
  <si>
    <t>Faturamento</t>
  </si>
  <si>
    <t>Julho</t>
  </si>
  <si>
    <t>Agosto</t>
  </si>
  <si>
    <t>Setembro</t>
  </si>
  <si>
    <t>Outubro</t>
  </si>
  <si>
    <t>Novembro</t>
  </si>
  <si>
    <t>Dezembro</t>
  </si>
  <si>
    <t>&gt;=01/07/2025</t>
  </si>
  <si>
    <t>&lt;=31/07/2025</t>
  </si>
  <si>
    <t>&gt;=01/08/2025</t>
  </si>
  <si>
    <t>&gt;=01/09/2025</t>
  </si>
  <si>
    <t>&gt;=01/10/2025</t>
  </si>
  <si>
    <t>&gt;=01/11/2025</t>
  </si>
  <si>
    <t>&gt;=01/12/2025</t>
  </si>
  <si>
    <t>&lt;=31/08/2025</t>
  </si>
  <si>
    <t>&lt;=31/10/2025</t>
  </si>
  <si>
    <t>&lt;=31/12/2025</t>
  </si>
  <si>
    <t>&lt;=30/09/2025</t>
  </si>
  <si>
    <t>&lt;=30/11/2025</t>
  </si>
  <si>
    <t>Bateu a meta mensal?</t>
  </si>
  <si>
    <t>Categoria "Roupa"</t>
  </si>
  <si>
    <t>Categoria "Casa"</t>
  </si>
  <si>
    <t>Categoria "Eletrodoméstico"</t>
  </si>
  <si>
    <t>Data Final do Mês</t>
  </si>
  <si>
    <t>Data Inicial do Mês</t>
  </si>
  <si>
    <t>→ Julho</t>
  </si>
  <si>
    <t>Qual produto trouxe mais lucro?</t>
  </si>
  <si>
    <t>→ Cama</t>
  </si>
  <si>
    <t>Qual categoria trouxe mais lucro?</t>
  </si>
  <si>
    <t>Qual o faturamento total?</t>
  </si>
  <si>
    <t>→ Casa</t>
  </si>
  <si>
    <t>Qual a % de metas atingidas?</t>
  </si>
  <si>
    <t>Qual mês faturou mais?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</si>
</sst>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/>
    <xf numFmtId="0" fontId="3" fillId="5" borderId="2" xfId="0" applyFont="1" applyFill="1" applyBorder="1"/>
    <xf numFmtId="16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9" fontId="0" fillId="0" borderId="3" xfId="1" applyFont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64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0" fontId="0" fillId="0" borderId="7" xfId="0" applyBorder="1"/>
    <xf numFmtId="0" fontId="0" fillId="0" borderId="9" xfId="0" applyBorder="1"/>
    <xf numFmtId="0" fontId="1" fillId="6" borderId="4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left"/>
    </xf>
  </cellXfs>
  <cellStyles count="2">
    <cellStyle name="Normal" xfId="0" builtinId="0"/>
    <cellStyle name="Porcentagem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7E3C-4858-4237-A601-90409BA6560F}">
  <dimension ref="A1:O124"/>
  <sheetViews>
    <sheetView workbookViewId="0">
      <selection activeCell="H6" sqref="H6"/>
    </sheetView>
  </sheetViews>
  <sheetFormatPr defaultRowHeight="14.4" x14ac:dyDescent="0.3"/>
  <cols>
    <col min="1" max="1" width="15.6640625" customWidth="1"/>
    <col min="2" max="2" width="13.6640625" customWidth="1"/>
    <col min="3" max="3" width="16.44140625" customWidth="1"/>
    <col min="4" max="4" width="13" customWidth="1"/>
    <col min="5" max="5" width="14.5546875" customWidth="1"/>
    <col min="6" max="6" width="19.88671875" bestFit="1" customWidth="1"/>
    <col min="7" max="7" width="20.109375" customWidth="1"/>
    <col min="8" max="8" width="13.21875" customWidth="1"/>
    <col min="10" max="10" width="14.88671875" bestFit="1" customWidth="1"/>
    <col min="11" max="11" width="10.5546875" bestFit="1" customWidth="1"/>
    <col min="12" max="12" width="10.5546875" customWidth="1"/>
    <col min="13" max="13" width="8.33203125" customWidth="1"/>
    <col min="14" max="14" width="9" bestFit="1" customWidth="1"/>
    <col min="15" max="15" width="9" customWidth="1"/>
    <col min="16" max="16" width="12.33203125" bestFit="1" customWidth="1"/>
    <col min="17" max="17" width="10.5546875" bestFit="1" customWidth="1"/>
  </cols>
  <sheetData>
    <row r="1" spans="1:1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22</v>
      </c>
      <c r="G1" s="8" t="s">
        <v>5</v>
      </c>
    </row>
    <row r="2" spans="1:15" x14ac:dyDescent="0.3">
      <c r="A2" s="9">
        <v>45841</v>
      </c>
      <c r="B2" s="2" t="s">
        <v>12</v>
      </c>
      <c r="C2" s="2" t="s">
        <v>16</v>
      </c>
      <c r="D2" s="2">
        <v>1</v>
      </c>
      <c r="E2" s="3">
        <v>107.3</v>
      </c>
      <c r="F2" s="3">
        <f t="shared" ref="F2:F33" si="0">D2*E2</f>
        <v>107.3</v>
      </c>
      <c r="G2" s="2" t="s">
        <v>20</v>
      </c>
    </row>
    <row r="3" spans="1:15" x14ac:dyDescent="0.3">
      <c r="A3" s="9">
        <v>45841</v>
      </c>
      <c r="B3" s="2" t="s">
        <v>8</v>
      </c>
      <c r="C3" s="2" t="s">
        <v>17</v>
      </c>
      <c r="D3" s="2">
        <v>1</v>
      </c>
      <c r="E3" s="3">
        <v>378.8</v>
      </c>
      <c r="F3" s="3">
        <f t="shared" si="0"/>
        <v>378.8</v>
      </c>
      <c r="G3" s="2" t="s">
        <v>19</v>
      </c>
    </row>
    <row r="4" spans="1:15" x14ac:dyDescent="0.3">
      <c r="A4" s="9">
        <v>45841</v>
      </c>
      <c r="B4" s="2" t="s">
        <v>13</v>
      </c>
      <c r="C4" s="2" t="s">
        <v>16</v>
      </c>
      <c r="D4" s="2">
        <v>1</v>
      </c>
      <c r="E4" s="3">
        <v>297.5</v>
      </c>
      <c r="F4" s="3">
        <f t="shared" si="0"/>
        <v>297.5</v>
      </c>
      <c r="G4" s="2" t="s">
        <v>19</v>
      </c>
    </row>
    <row r="5" spans="1:15" x14ac:dyDescent="0.3">
      <c r="A5" s="9">
        <v>45842</v>
      </c>
      <c r="B5" s="2" t="s">
        <v>14</v>
      </c>
      <c r="C5" s="2" t="s">
        <v>18</v>
      </c>
      <c r="D5" s="2">
        <v>1</v>
      </c>
      <c r="E5" s="3">
        <v>1749.22</v>
      </c>
      <c r="F5" s="3">
        <f t="shared" si="0"/>
        <v>1749.22</v>
      </c>
      <c r="G5" s="2" t="s">
        <v>20</v>
      </c>
    </row>
    <row r="6" spans="1:15" x14ac:dyDescent="0.3">
      <c r="A6" s="9">
        <v>45843</v>
      </c>
      <c r="B6" s="2" t="s">
        <v>10</v>
      </c>
      <c r="C6" s="2" t="s">
        <v>16</v>
      </c>
      <c r="D6" s="2">
        <v>1</v>
      </c>
      <c r="E6" s="3">
        <v>79.900000000000006</v>
      </c>
      <c r="F6" s="3">
        <f t="shared" si="0"/>
        <v>79.900000000000006</v>
      </c>
      <c r="G6" s="2" t="s">
        <v>19</v>
      </c>
      <c r="N6" s="1"/>
      <c r="O6" s="1"/>
    </row>
    <row r="7" spans="1:15" x14ac:dyDescent="0.3">
      <c r="A7" s="9">
        <v>45845</v>
      </c>
      <c r="B7" s="2" t="s">
        <v>9</v>
      </c>
      <c r="C7" s="2" t="s">
        <v>18</v>
      </c>
      <c r="D7" s="2">
        <v>1</v>
      </c>
      <c r="E7" s="3">
        <v>2289</v>
      </c>
      <c r="F7" s="3">
        <f t="shared" si="0"/>
        <v>2289</v>
      </c>
      <c r="G7" s="2" t="s">
        <v>19</v>
      </c>
    </row>
    <row r="8" spans="1:15" x14ac:dyDescent="0.3">
      <c r="A8" s="9">
        <v>45845</v>
      </c>
      <c r="B8" s="2" t="s">
        <v>10</v>
      </c>
      <c r="C8" s="2" t="s">
        <v>16</v>
      </c>
      <c r="D8" s="2">
        <v>2</v>
      </c>
      <c r="E8" s="3">
        <v>79.900000000000006</v>
      </c>
      <c r="F8" s="3">
        <f t="shared" si="0"/>
        <v>159.80000000000001</v>
      </c>
      <c r="G8" s="2" t="s">
        <v>20</v>
      </c>
    </row>
    <row r="9" spans="1:15" x14ac:dyDescent="0.3">
      <c r="A9" s="9">
        <v>45846</v>
      </c>
      <c r="B9" s="2" t="s">
        <v>8</v>
      </c>
      <c r="C9" s="2" t="s">
        <v>17</v>
      </c>
      <c r="D9" s="2">
        <v>1</v>
      </c>
      <c r="E9" s="3">
        <v>378.8</v>
      </c>
      <c r="F9" s="3">
        <f t="shared" si="0"/>
        <v>378.8</v>
      </c>
      <c r="G9" s="2" t="s">
        <v>20</v>
      </c>
    </row>
    <row r="10" spans="1:15" x14ac:dyDescent="0.3">
      <c r="A10" s="9">
        <v>45847</v>
      </c>
      <c r="B10" s="2" t="s">
        <v>6</v>
      </c>
      <c r="C10" s="2" t="s">
        <v>17</v>
      </c>
      <c r="D10" s="2">
        <v>1</v>
      </c>
      <c r="E10" s="3">
        <v>1699</v>
      </c>
      <c r="F10" s="3">
        <f t="shared" si="0"/>
        <v>1699</v>
      </c>
      <c r="G10" s="2" t="s">
        <v>19</v>
      </c>
    </row>
    <row r="11" spans="1:15" x14ac:dyDescent="0.3">
      <c r="A11" s="9">
        <v>45849</v>
      </c>
      <c r="B11" s="2" t="s">
        <v>11</v>
      </c>
      <c r="C11" s="2" t="s">
        <v>16</v>
      </c>
      <c r="D11" s="2">
        <v>3</v>
      </c>
      <c r="E11" s="3">
        <v>54.99</v>
      </c>
      <c r="F11" s="3">
        <f t="shared" si="0"/>
        <v>164.97</v>
      </c>
      <c r="G11" s="2" t="s">
        <v>20</v>
      </c>
    </row>
    <row r="12" spans="1:15" x14ac:dyDescent="0.3">
      <c r="A12" s="9">
        <v>45850</v>
      </c>
      <c r="B12" s="2" t="s">
        <v>14</v>
      </c>
      <c r="C12" s="2" t="s">
        <v>18</v>
      </c>
      <c r="D12" s="2">
        <v>1</v>
      </c>
      <c r="E12" s="3">
        <v>1749.22</v>
      </c>
      <c r="F12" s="3">
        <f t="shared" si="0"/>
        <v>1749.22</v>
      </c>
      <c r="G12" s="2" t="s">
        <v>20</v>
      </c>
    </row>
    <row r="13" spans="1:15" x14ac:dyDescent="0.3">
      <c r="A13" s="9">
        <v>45850</v>
      </c>
      <c r="B13" s="2" t="s">
        <v>10</v>
      </c>
      <c r="C13" s="2" t="s">
        <v>16</v>
      </c>
      <c r="D13" s="2">
        <v>3</v>
      </c>
      <c r="E13" s="3">
        <v>79.900000000000006</v>
      </c>
      <c r="F13" s="3">
        <f t="shared" si="0"/>
        <v>239.70000000000002</v>
      </c>
      <c r="G13" s="2" t="s">
        <v>20</v>
      </c>
    </row>
    <row r="14" spans="1:15" x14ac:dyDescent="0.3">
      <c r="A14" s="9">
        <v>45852</v>
      </c>
      <c r="B14" s="2" t="s">
        <v>6</v>
      </c>
      <c r="C14" s="2" t="s">
        <v>17</v>
      </c>
      <c r="D14" s="2">
        <v>1</v>
      </c>
      <c r="E14" s="3">
        <v>1699</v>
      </c>
      <c r="F14" s="3">
        <f t="shared" si="0"/>
        <v>1699</v>
      </c>
      <c r="G14" s="2" t="s">
        <v>19</v>
      </c>
    </row>
    <row r="15" spans="1:15" x14ac:dyDescent="0.3">
      <c r="A15" s="9">
        <v>45853</v>
      </c>
      <c r="B15" s="2" t="s">
        <v>13</v>
      </c>
      <c r="C15" s="2" t="s">
        <v>16</v>
      </c>
      <c r="D15" s="2">
        <v>3</v>
      </c>
      <c r="E15" s="3">
        <v>297.5</v>
      </c>
      <c r="F15" s="3">
        <f t="shared" si="0"/>
        <v>892.5</v>
      </c>
      <c r="G15" s="2" t="s">
        <v>19</v>
      </c>
    </row>
    <row r="16" spans="1:15" x14ac:dyDescent="0.3">
      <c r="A16" s="9">
        <v>45853</v>
      </c>
      <c r="B16" s="2" t="s">
        <v>6</v>
      </c>
      <c r="C16" s="2" t="s">
        <v>17</v>
      </c>
      <c r="D16" s="2">
        <v>2</v>
      </c>
      <c r="E16" s="3">
        <v>1699</v>
      </c>
      <c r="F16" s="3">
        <f t="shared" si="0"/>
        <v>3398</v>
      </c>
      <c r="G16" s="2" t="s">
        <v>20</v>
      </c>
    </row>
    <row r="17" spans="1:7" x14ac:dyDescent="0.3">
      <c r="A17" s="9">
        <v>45854</v>
      </c>
      <c r="B17" s="2" t="s">
        <v>8</v>
      </c>
      <c r="C17" s="2" t="s">
        <v>17</v>
      </c>
      <c r="D17" s="2">
        <v>1</v>
      </c>
      <c r="E17" s="3">
        <v>378.8</v>
      </c>
      <c r="F17" s="3">
        <f t="shared" si="0"/>
        <v>378.8</v>
      </c>
      <c r="G17" s="2" t="s">
        <v>19</v>
      </c>
    </row>
    <row r="18" spans="1:7" x14ac:dyDescent="0.3">
      <c r="A18" s="9">
        <v>45858</v>
      </c>
      <c r="B18" s="2" t="s">
        <v>11</v>
      </c>
      <c r="C18" s="2" t="s">
        <v>16</v>
      </c>
      <c r="D18" s="2">
        <v>3</v>
      </c>
      <c r="E18" s="3">
        <v>54.99</v>
      </c>
      <c r="F18" s="3">
        <f t="shared" si="0"/>
        <v>164.97</v>
      </c>
      <c r="G18" s="2" t="s">
        <v>19</v>
      </c>
    </row>
    <row r="19" spans="1:7" x14ac:dyDescent="0.3">
      <c r="A19" s="9">
        <v>45858</v>
      </c>
      <c r="B19" s="2" t="s">
        <v>9</v>
      </c>
      <c r="C19" s="2" t="s">
        <v>18</v>
      </c>
      <c r="D19" s="2">
        <v>1</v>
      </c>
      <c r="E19" s="3">
        <v>2289</v>
      </c>
      <c r="F19" s="3">
        <f t="shared" si="0"/>
        <v>2289</v>
      </c>
      <c r="G19" s="2" t="s">
        <v>20</v>
      </c>
    </row>
    <row r="20" spans="1:7" x14ac:dyDescent="0.3">
      <c r="A20" s="9">
        <v>45858</v>
      </c>
      <c r="B20" s="2" t="s">
        <v>12</v>
      </c>
      <c r="C20" s="2" t="s">
        <v>16</v>
      </c>
      <c r="D20" s="2">
        <v>2</v>
      </c>
      <c r="E20" s="3">
        <v>107.3</v>
      </c>
      <c r="F20" s="3">
        <f t="shared" si="0"/>
        <v>214.6</v>
      </c>
      <c r="G20" s="2" t="s">
        <v>19</v>
      </c>
    </row>
    <row r="21" spans="1:7" x14ac:dyDescent="0.3">
      <c r="A21" s="9">
        <v>45859</v>
      </c>
      <c r="B21" s="2" t="s">
        <v>7</v>
      </c>
      <c r="C21" s="2" t="s">
        <v>17</v>
      </c>
      <c r="D21" s="2">
        <v>3</v>
      </c>
      <c r="E21" s="3">
        <v>677.87</v>
      </c>
      <c r="F21" s="3">
        <f t="shared" si="0"/>
        <v>2033.6100000000001</v>
      </c>
      <c r="G21" s="2" t="s">
        <v>19</v>
      </c>
    </row>
    <row r="22" spans="1:7" x14ac:dyDescent="0.3">
      <c r="A22" s="9">
        <v>45861</v>
      </c>
      <c r="B22" s="2" t="s">
        <v>6</v>
      </c>
      <c r="C22" s="2" t="s">
        <v>17</v>
      </c>
      <c r="D22" s="2">
        <v>1</v>
      </c>
      <c r="E22" s="3">
        <v>1699</v>
      </c>
      <c r="F22" s="3">
        <f t="shared" si="0"/>
        <v>1699</v>
      </c>
      <c r="G22" s="2" t="s">
        <v>19</v>
      </c>
    </row>
    <row r="23" spans="1:7" x14ac:dyDescent="0.3">
      <c r="A23" s="9">
        <v>45861</v>
      </c>
      <c r="B23" s="2" t="s">
        <v>15</v>
      </c>
      <c r="C23" s="2" t="s">
        <v>18</v>
      </c>
      <c r="D23" s="2">
        <v>1</v>
      </c>
      <c r="E23" s="3">
        <v>1090.8</v>
      </c>
      <c r="F23" s="3">
        <f t="shared" si="0"/>
        <v>1090.8</v>
      </c>
      <c r="G23" s="2" t="s">
        <v>20</v>
      </c>
    </row>
    <row r="24" spans="1:7" x14ac:dyDescent="0.3">
      <c r="A24" s="9">
        <v>45864</v>
      </c>
      <c r="B24" s="2" t="s">
        <v>6</v>
      </c>
      <c r="C24" s="2" t="s">
        <v>17</v>
      </c>
      <c r="D24" s="2">
        <v>1</v>
      </c>
      <c r="E24" s="3">
        <v>1699</v>
      </c>
      <c r="F24" s="3">
        <f t="shared" si="0"/>
        <v>1699</v>
      </c>
      <c r="G24" s="2" t="s">
        <v>20</v>
      </c>
    </row>
    <row r="25" spans="1:7" x14ac:dyDescent="0.3">
      <c r="A25" s="9">
        <v>45866</v>
      </c>
      <c r="B25" s="2" t="s">
        <v>13</v>
      </c>
      <c r="C25" s="2" t="s">
        <v>16</v>
      </c>
      <c r="D25" s="2">
        <v>2</v>
      </c>
      <c r="E25" s="3">
        <v>297.5</v>
      </c>
      <c r="F25" s="3">
        <f t="shared" si="0"/>
        <v>595</v>
      </c>
      <c r="G25" s="2" t="s">
        <v>20</v>
      </c>
    </row>
    <row r="26" spans="1:7" x14ac:dyDescent="0.3">
      <c r="A26" s="9">
        <v>45867</v>
      </c>
      <c r="B26" s="2" t="s">
        <v>9</v>
      </c>
      <c r="C26" s="2" t="s">
        <v>18</v>
      </c>
      <c r="D26" s="2">
        <v>1</v>
      </c>
      <c r="E26" s="3">
        <v>2289</v>
      </c>
      <c r="F26" s="3">
        <f t="shared" si="0"/>
        <v>2289</v>
      </c>
      <c r="G26" s="2" t="s">
        <v>19</v>
      </c>
    </row>
    <row r="27" spans="1:7" x14ac:dyDescent="0.3">
      <c r="A27" s="9">
        <v>45867</v>
      </c>
      <c r="B27" s="2" t="s">
        <v>9</v>
      </c>
      <c r="C27" s="2" t="s">
        <v>18</v>
      </c>
      <c r="D27" s="2">
        <v>1</v>
      </c>
      <c r="E27" s="3">
        <v>2289</v>
      </c>
      <c r="F27" s="3">
        <f t="shared" si="0"/>
        <v>2289</v>
      </c>
      <c r="G27" s="2" t="s">
        <v>20</v>
      </c>
    </row>
    <row r="28" spans="1:7" x14ac:dyDescent="0.3">
      <c r="A28" s="9">
        <v>45868</v>
      </c>
      <c r="B28" s="2" t="s">
        <v>6</v>
      </c>
      <c r="C28" s="2" t="s">
        <v>17</v>
      </c>
      <c r="D28" s="2">
        <v>1</v>
      </c>
      <c r="E28" s="3">
        <v>1699</v>
      </c>
      <c r="F28" s="3">
        <f t="shared" si="0"/>
        <v>1699</v>
      </c>
      <c r="G28" s="2" t="s">
        <v>20</v>
      </c>
    </row>
    <row r="29" spans="1:7" x14ac:dyDescent="0.3">
      <c r="A29" s="9">
        <v>45869</v>
      </c>
      <c r="B29" s="2" t="s">
        <v>7</v>
      </c>
      <c r="C29" s="2" t="s">
        <v>17</v>
      </c>
      <c r="D29" s="2">
        <v>2</v>
      </c>
      <c r="E29" s="3">
        <v>677.87</v>
      </c>
      <c r="F29" s="3">
        <f t="shared" si="0"/>
        <v>1355.74</v>
      </c>
      <c r="G29" s="2" t="s">
        <v>20</v>
      </c>
    </row>
    <row r="30" spans="1:7" x14ac:dyDescent="0.3">
      <c r="A30" s="9">
        <v>45869</v>
      </c>
      <c r="B30" s="2" t="s">
        <v>7</v>
      </c>
      <c r="C30" s="2" t="s">
        <v>17</v>
      </c>
      <c r="D30" s="2">
        <v>2</v>
      </c>
      <c r="E30" s="3">
        <v>677.87</v>
      </c>
      <c r="F30" s="3">
        <f t="shared" si="0"/>
        <v>1355.74</v>
      </c>
      <c r="G30" s="2" t="s">
        <v>19</v>
      </c>
    </row>
    <row r="31" spans="1:7" x14ac:dyDescent="0.3">
      <c r="A31" s="9">
        <v>45869</v>
      </c>
      <c r="B31" s="2" t="s">
        <v>6</v>
      </c>
      <c r="C31" s="2" t="s">
        <v>17</v>
      </c>
      <c r="D31" s="2">
        <v>1</v>
      </c>
      <c r="E31" s="3">
        <v>1699</v>
      </c>
      <c r="F31" s="3">
        <f t="shared" si="0"/>
        <v>1699</v>
      </c>
      <c r="G31" s="2" t="s">
        <v>20</v>
      </c>
    </row>
    <row r="32" spans="1:7" x14ac:dyDescent="0.3">
      <c r="A32" s="9">
        <v>45870</v>
      </c>
      <c r="B32" s="2" t="s">
        <v>10</v>
      </c>
      <c r="C32" s="2" t="s">
        <v>16</v>
      </c>
      <c r="D32" s="2">
        <v>1</v>
      </c>
      <c r="E32" s="3">
        <v>79.900000000000006</v>
      </c>
      <c r="F32" s="3">
        <f t="shared" si="0"/>
        <v>79.900000000000006</v>
      </c>
      <c r="G32" s="2" t="s">
        <v>20</v>
      </c>
    </row>
    <row r="33" spans="1:7" x14ac:dyDescent="0.3">
      <c r="A33" s="9">
        <v>45876</v>
      </c>
      <c r="B33" s="2" t="s">
        <v>8</v>
      </c>
      <c r="C33" s="2" t="s">
        <v>17</v>
      </c>
      <c r="D33" s="2">
        <v>1</v>
      </c>
      <c r="E33" s="3">
        <v>378.8</v>
      </c>
      <c r="F33" s="3">
        <f t="shared" si="0"/>
        <v>378.8</v>
      </c>
      <c r="G33" s="2" t="s">
        <v>19</v>
      </c>
    </row>
    <row r="34" spans="1:7" x14ac:dyDescent="0.3">
      <c r="A34" s="9">
        <v>45876</v>
      </c>
      <c r="B34" s="2" t="s">
        <v>13</v>
      </c>
      <c r="C34" s="2" t="s">
        <v>16</v>
      </c>
      <c r="D34" s="2">
        <v>2</v>
      </c>
      <c r="E34" s="3">
        <v>297.5</v>
      </c>
      <c r="F34" s="3">
        <f t="shared" ref="F34:F65" si="1">D34*E34</f>
        <v>595</v>
      </c>
      <c r="G34" s="2" t="s">
        <v>19</v>
      </c>
    </row>
    <row r="35" spans="1:7" x14ac:dyDescent="0.3">
      <c r="A35" s="9">
        <v>45879</v>
      </c>
      <c r="B35" s="2" t="s">
        <v>8</v>
      </c>
      <c r="C35" s="2" t="s">
        <v>17</v>
      </c>
      <c r="D35" s="2">
        <v>1</v>
      </c>
      <c r="E35" s="3">
        <v>378.8</v>
      </c>
      <c r="F35" s="3">
        <f t="shared" si="1"/>
        <v>378.8</v>
      </c>
      <c r="G35" s="2" t="s">
        <v>19</v>
      </c>
    </row>
    <row r="36" spans="1:7" x14ac:dyDescent="0.3">
      <c r="A36" s="9">
        <v>45879</v>
      </c>
      <c r="B36" s="2" t="s">
        <v>8</v>
      </c>
      <c r="C36" s="2" t="s">
        <v>17</v>
      </c>
      <c r="D36" s="2">
        <v>2</v>
      </c>
      <c r="E36" s="3">
        <v>378.8</v>
      </c>
      <c r="F36" s="3">
        <f t="shared" si="1"/>
        <v>757.6</v>
      </c>
      <c r="G36" s="2" t="s">
        <v>19</v>
      </c>
    </row>
    <row r="37" spans="1:7" x14ac:dyDescent="0.3">
      <c r="A37" s="9">
        <v>45881</v>
      </c>
      <c r="B37" s="2" t="s">
        <v>12</v>
      </c>
      <c r="C37" s="2" t="s">
        <v>16</v>
      </c>
      <c r="D37" s="2">
        <v>2</v>
      </c>
      <c r="E37" s="3">
        <v>107.3</v>
      </c>
      <c r="F37" s="3">
        <f t="shared" si="1"/>
        <v>214.6</v>
      </c>
      <c r="G37" s="2" t="s">
        <v>20</v>
      </c>
    </row>
    <row r="38" spans="1:7" x14ac:dyDescent="0.3">
      <c r="A38" s="9">
        <v>45883</v>
      </c>
      <c r="B38" s="2" t="s">
        <v>12</v>
      </c>
      <c r="C38" s="2" t="s">
        <v>16</v>
      </c>
      <c r="D38" s="2">
        <v>1</v>
      </c>
      <c r="E38" s="3">
        <v>107.3</v>
      </c>
      <c r="F38" s="3">
        <f t="shared" si="1"/>
        <v>107.3</v>
      </c>
      <c r="G38" s="2" t="s">
        <v>19</v>
      </c>
    </row>
    <row r="39" spans="1:7" x14ac:dyDescent="0.3">
      <c r="A39" s="9">
        <v>45884</v>
      </c>
      <c r="B39" s="2" t="s">
        <v>10</v>
      </c>
      <c r="C39" s="2" t="s">
        <v>16</v>
      </c>
      <c r="D39" s="2">
        <v>2</v>
      </c>
      <c r="E39" s="3">
        <v>79.900000000000006</v>
      </c>
      <c r="F39" s="3">
        <f t="shared" si="1"/>
        <v>159.80000000000001</v>
      </c>
      <c r="G39" s="2" t="s">
        <v>20</v>
      </c>
    </row>
    <row r="40" spans="1:7" x14ac:dyDescent="0.3">
      <c r="A40" s="9">
        <v>45890</v>
      </c>
      <c r="B40" s="2" t="s">
        <v>12</v>
      </c>
      <c r="C40" s="2" t="s">
        <v>16</v>
      </c>
      <c r="D40" s="2">
        <v>3</v>
      </c>
      <c r="E40" s="3">
        <v>107.3</v>
      </c>
      <c r="F40" s="3">
        <f t="shared" si="1"/>
        <v>321.89999999999998</v>
      </c>
      <c r="G40" s="2" t="s">
        <v>19</v>
      </c>
    </row>
    <row r="41" spans="1:7" x14ac:dyDescent="0.3">
      <c r="A41" s="9">
        <v>45891</v>
      </c>
      <c r="B41" s="2" t="s">
        <v>9</v>
      </c>
      <c r="C41" s="2" t="s">
        <v>18</v>
      </c>
      <c r="D41" s="2">
        <v>1</v>
      </c>
      <c r="E41" s="3">
        <v>2289</v>
      </c>
      <c r="F41" s="3">
        <f t="shared" si="1"/>
        <v>2289</v>
      </c>
      <c r="G41" s="2" t="s">
        <v>20</v>
      </c>
    </row>
    <row r="42" spans="1:7" x14ac:dyDescent="0.3">
      <c r="A42" s="9">
        <v>45895</v>
      </c>
      <c r="B42" s="2" t="s">
        <v>8</v>
      </c>
      <c r="C42" s="2" t="s">
        <v>17</v>
      </c>
      <c r="D42" s="2">
        <v>2</v>
      </c>
      <c r="E42" s="3">
        <v>378.8</v>
      </c>
      <c r="F42" s="3">
        <f t="shared" si="1"/>
        <v>757.6</v>
      </c>
      <c r="G42" s="2" t="s">
        <v>19</v>
      </c>
    </row>
    <row r="43" spans="1:7" x14ac:dyDescent="0.3">
      <c r="A43" s="9">
        <v>45897</v>
      </c>
      <c r="B43" s="2" t="s">
        <v>6</v>
      </c>
      <c r="C43" s="2" t="s">
        <v>17</v>
      </c>
      <c r="D43" s="2">
        <v>1</v>
      </c>
      <c r="E43" s="3">
        <v>1699</v>
      </c>
      <c r="F43" s="3">
        <f t="shared" si="1"/>
        <v>1699</v>
      </c>
      <c r="G43" s="2" t="s">
        <v>19</v>
      </c>
    </row>
    <row r="44" spans="1:7" x14ac:dyDescent="0.3">
      <c r="A44" s="9">
        <v>45901</v>
      </c>
      <c r="B44" s="2" t="s">
        <v>10</v>
      </c>
      <c r="C44" s="2" t="s">
        <v>16</v>
      </c>
      <c r="D44" s="2">
        <v>3</v>
      </c>
      <c r="E44" s="3">
        <v>79.900000000000006</v>
      </c>
      <c r="F44" s="3">
        <f t="shared" si="1"/>
        <v>239.70000000000002</v>
      </c>
      <c r="G44" s="2" t="s">
        <v>20</v>
      </c>
    </row>
    <row r="45" spans="1:7" x14ac:dyDescent="0.3">
      <c r="A45" s="9">
        <v>45904</v>
      </c>
      <c r="B45" s="2" t="s">
        <v>13</v>
      </c>
      <c r="C45" s="2" t="s">
        <v>16</v>
      </c>
      <c r="D45" s="2">
        <v>2</v>
      </c>
      <c r="E45" s="3">
        <v>297.5</v>
      </c>
      <c r="F45" s="3">
        <f t="shared" si="1"/>
        <v>595</v>
      </c>
      <c r="G45" s="2" t="s">
        <v>19</v>
      </c>
    </row>
    <row r="46" spans="1:7" x14ac:dyDescent="0.3">
      <c r="A46" s="9">
        <v>45905</v>
      </c>
      <c r="B46" s="2" t="s">
        <v>9</v>
      </c>
      <c r="C46" s="2" t="s">
        <v>18</v>
      </c>
      <c r="D46" s="2">
        <v>2</v>
      </c>
      <c r="E46" s="3">
        <v>2289</v>
      </c>
      <c r="F46" s="3">
        <f t="shared" si="1"/>
        <v>4578</v>
      </c>
      <c r="G46" s="2" t="s">
        <v>19</v>
      </c>
    </row>
    <row r="47" spans="1:7" x14ac:dyDescent="0.3">
      <c r="A47" s="9">
        <v>45910</v>
      </c>
      <c r="B47" s="2" t="s">
        <v>10</v>
      </c>
      <c r="C47" s="2" t="s">
        <v>16</v>
      </c>
      <c r="D47" s="2">
        <v>1</v>
      </c>
      <c r="E47" s="3">
        <v>79.900000000000006</v>
      </c>
      <c r="F47" s="3">
        <f t="shared" si="1"/>
        <v>79.900000000000006</v>
      </c>
      <c r="G47" s="2" t="s">
        <v>19</v>
      </c>
    </row>
    <row r="48" spans="1:7" x14ac:dyDescent="0.3">
      <c r="A48" s="9">
        <v>45913</v>
      </c>
      <c r="B48" s="2" t="s">
        <v>13</v>
      </c>
      <c r="C48" s="2" t="s">
        <v>16</v>
      </c>
      <c r="D48" s="2">
        <v>1</v>
      </c>
      <c r="E48" s="3">
        <v>297.5</v>
      </c>
      <c r="F48" s="3">
        <f t="shared" si="1"/>
        <v>297.5</v>
      </c>
      <c r="G48" s="2" t="s">
        <v>19</v>
      </c>
    </row>
    <row r="49" spans="1:7" x14ac:dyDescent="0.3">
      <c r="A49" s="9">
        <v>45913</v>
      </c>
      <c r="B49" s="2" t="s">
        <v>6</v>
      </c>
      <c r="C49" s="2" t="s">
        <v>17</v>
      </c>
      <c r="D49" s="2">
        <v>1</v>
      </c>
      <c r="E49" s="3">
        <v>1699</v>
      </c>
      <c r="F49" s="3">
        <f t="shared" si="1"/>
        <v>1699</v>
      </c>
      <c r="G49" s="2" t="s">
        <v>20</v>
      </c>
    </row>
    <row r="50" spans="1:7" x14ac:dyDescent="0.3">
      <c r="A50" s="9">
        <v>45916</v>
      </c>
      <c r="B50" s="2" t="s">
        <v>9</v>
      </c>
      <c r="C50" s="2" t="s">
        <v>18</v>
      </c>
      <c r="D50" s="2">
        <v>2</v>
      </c>
      <c r="E50" s="3">
        <v>2289</v>
      </c>
      <c r="F50" s="3">
        <f t="shared" si="1"/>
        <v>4578</v>
      </c>
      <c r="G50" s="2" t="s">
        <v>19</v>
      </c>
    </row>
    <row r="51" spans="1:7" x14ac:dyDescent="0.3">
      <c r="A51" s="9">
        <v>45918</v>
      </c>
      <c r="B51" s="2" t="s">
        <v>8</v>
      </c>
      <c r="C51" s="2" t="s">
        <v>17</v>
      </c>
      <c r="D51" s="2">
        <v>1</v>
      </c>
      <c r="E51" s="3">
        <v>378.8</v>
      </c>
      <c r="F51" s="3">
        <f t="shared" si="1"/>
        <v>378.8</v>
      </c>
      <c r="G51" s="2" t="s">
        <v>20</v>
      </c>
    </row>
    <row r="52" spans="1:7" x14ac:dyDescent="0.3">
      <c r="A52" s="9">
        <v>45918</v>
      </c>
      <c r="B52" s="2" t="s">
        <v>12</v>
      </c>
      <c r="C52" s="2" t="s">
        <v>16</v>
      </c>
      <c r="D52" s="2">
        <v>1</v>
      </c>
      <c r="E52" s="3">
        <v>107.3</v>
      </c>
      <c r="F52" s="3">
        <f t="shared" si="1"/>
        <v>107.3</v>
      </c>
      <c r="G52" s="2" t="s">
        <v>19</v>
      </c>
    </row>
    <row r="53" spans="1:7" x14ac:dyDescent="0.3">
      <c r="A53" s="9">
        <v>45923</v>
      </c>
      <c r="B53" s="2" t="s">
        <v>10</v>
      </c>
      <c r="C53" s="2" t="s">
        <v>16</v>
      </c>
      <c r="D53" s="2">
        <v>1</v>
      </c>
      <c r="E53" s="3">
        <v>79.900000000000006</v>
      </c>
      <c r="F53" s="3">
        <f t="shared" si="1"/>
        <v>79.900000000000006</v>
      </c>
      <c r="G53" s="2" t="s">
        <v>19</v>
      </c>
    </row>
    <row r="54" spans="1:7" x14ac:dyDescent="0.3">
      <c r="A54" s="9">
        <v>45925</v>
      </c>
      <c r="B54" s="2" t="s">
        <v>8</v>
      </c>
      <c r="C54" s="2" t="s">
        <v>17</v>
      </c>
      <c r="D54" s="2">
        <v>1</v>
      </c>
      <c r="E54" s="3">
        <v>378.8</v>
      </c>
      <c r="F54" s="3">
        <f t="shared" si="1"/>
        <v>378.8</v>
      </c>
      <c r="G54" s="2" t="s">
        <v>19</v>
      </c>
    </row>
    <row r="55" spans="1:7" x14ac:dyDescent="0.3">
      <c r="A55" s="9">
        <v>45925</v>
      </c>
      <c r="B55" s="2" t="s">
        <v>10</v>
      </c>
      <c r="C55" s="2" t="s">
        <v>16</v>
      </c>
      <c r="D55" s="2">
        <v>3</v>
      </c>
      <c r="E55" s="3">
        <v>79.900000000000006</v>
      </c>
      <c r="F55" s="3">
        <f t="shared" si="1"/>
        <v>239.70000000000002</v>
      </c>
      <c r="G55" s="2" t="s">
        <v>19</v>
      </c>
    </row>
    <row r="56" spans="1:7" x14ac:dyDescent="0.3">
      <c r="A56" s="9">
        <v>45926</v>
      </c>
      <c r="B56" s="2" t="s">
        <v>8</v>
      </c>
      <c r="C56" s="2" t="s">
        <v>17</v>
      </c>
      <c r="D56" s="2">
        <v>1</v>
      </c>
      <c r="E56" s="3">
        <v>378.8</v>
      </c>
      <c r="F56" s="3">
        <f t="shared" si="1"/>
        <v>378.8</v>
      </c>
      <c r="G56" s="2" t="s">
        <v>19</v>
      </c>
    </row>
    <row r="57" spans="1:7" x14ac:dyDescent="0.3">
      <c r="A57" s="9">
        <v>45928</v>
      </c>
      <c r="B57" s="2" t="s">
        <v>6</v>
      </c>
      <c r="C57" s="2" t="s">
        <v>17</v>
      </c>
      <c r="D57" s="2">
        <v>1</v>
      </c>
      <c r="E57" s="3">
        <v>1699</v>
      </c>
      <c r="F57" s="3">
        <f t="shared" si="1"/>
        <v>1699</v>
      </c>
      <c r="G57" s="2" t="s">
        <v>19</v>
      </c>
    </row>
    <row r="58" spans="1:7" x14ac:dyDescent="0.3">
      <c r="A58" s="9">
        <v>45932</v>
      </c>
      <c r="B58" s="2" t="s">
        <v>8</v>
      </c>
      <c r="C58" s="2" t="s">
        <v>17</v>
      </c>
      <c r="D58" s="2">
        <v>1</v>
      </c>
      <c r="E58" s="3">
        <v>378.8</v>
      </c>
      <c r="F58" s="3">
        <f t="shared" si="1"/>
        <v>378.8</v>
      </c>
      <c r="G58" s="2" t="s">
        <v>20</v>
      </c>
    </row>
    <row r="59" spans="1:7" x14ac:dyDescent="0.3">
      <c r="A59" s="9">
        <v>45933</v>
      </c>
      <c r="B59" s="2" t="s">
        <v>6</v>
      </c>
      <c r="C59" s="2" t="s">
        <v>17</v>
      </c>
      <c r="D59" s="2">
        <v>1</v>
      </c>
      <c r="E59" s="3">
        <v>1699</v>
      </c>
      <c r="F59" s="3">
        <f t="shared" si="1"/>
        <v>1699</v>
      </c>
      <c r="G59" s="2" t="s">
        <v>20</v>
      </c>
    </row>
    <row r="60" spans="1:7" x14ac:dyDescent="0.3">
      <c r="A60" s="9">
        <v>45935</v>
      </c>
      <c r="B60" s="2" t="s">
        <v>13</v>
      </c>
      <c r="C60" s="2" t="s">
        <v>16</v>
      </c>
      <c r="D60" s="2">
        <v>1</v>
      </c>
      <c r="E60" s="3">
        <v>297.5</v>
      </c>
      <c r="F60" s="3">
        <f t="shared" si="1"/>
        <v>297.5</v>
      </c>
      <c r="G60" s="2" t="s">
        <v>20</v>
      </c>
    </row>
    <row r="61" spans="1:7" x14ac:dyDescent="0.3">
      <c r="A61" s="9">
        <v>45939</v>
      </c>
      <c r="B61" s="2" t="s">
        <v>11</v>
      </c>
      <c r="C61" s="2" t="s">
        <v>16</v>
      </c>
      <c r="D61" s="2">
        <v>1</v>
      </c>
      <c r="E61" s="3">
        <v>54.99</v>
      </c>
      <c r="F61" s="3">
        <f t="shared" si="1"/>
        <v>54.99</v>
      </c>
      <c r="G61" s="2" t="s">
        <v>19</v>
      </c>
    </row>
    <row r="62" spans="1:7" x14ac:dyDescent="0.3">
      <c r="A62" s="9">
        <v>45939</v>
      </c>
      <c r="B62" s="2" t="s">
        <v>13</v>
      </c>
      <c r="C62" s="2" t="s">
        <v>16</v>
      </c>
      <c r="D62" s="2">
        <v>3</v>
      </c>
      <c r="E62" s="3">
        <v>297.5</v>
      </c>
      <c r="F62" s="3">
        <f t="shared" si="1"/>
        <v>892.5</v>
      </c>
      <c r="G62" s="2" t="s">
        <v>19</v>
      </c>
    </row>
    <row r="63" spans="1:7" x14ac:dyDescent="0.3">
      <c r="A63" s="9">
        <v>45940</v>
      </c>
      <c r="B63" s="2" t="s">
        <v>7</v>
      </c>
      <c r="C63" s="2" t="s">
        <v>17</v>
      </c>
      <c r="D63" s="2">
        <v>1</v>
      </c>
      <c r="E63" s="3">
        <v>677.87</v>
      </c>
      <c r="F63" s="3">
        <f t="shared" si="1"/>
        <v>677.87</v>
      </c>
      <c r="G63" s="2" t="s">
        <v>20</v>
      </c>
    </row>
    <row r="64" spans="1:7" x14ac:dyDescent="0.3">
      <c r="A64" s="9">
        <v>45940</v>
      </c>
      <c r="B64" s="2" t="s">
        <v>10</v>
      </c>
      <c r="C64" s="2" t="s">
        <v>16</v>
      </c>
      <c r="D64" s="2">
        <v>4</v>
      </c>
      <c r="E64" s="3">
        <v>79.900000000000006</v>
      </c>
      <c r="F64" s="3">
        <f t="shared" si="1"/>
        <v>319.60000000000002</v>
      </c>
      <c r="G64" s="2" t="s">
        <v>20</v>
      </c>
    </row>
    <row r="65" spans="1:7" x14ac:dyDescent="0.3">
      <c r="A65" s="9">
        <v>45941</v>
      </c>
      <c r="B65" s="2" t="s">
        <v>15</v>
      </c>
      <c r="C65" s="2" t="s">
        <v>18</v>
      </c>
      <c r="D65" s="2">
        <v>1</v>
      </c>
      <c r="E65" s="3">
        <v>1090.8</v>
      </c>
      <c r="F65" s="3">
        <f t="shared" si="1"/>
        <v>1090.8</v>
      </c>
      <c r="G65" s="2" t="s">
        <v>20</v>
      </c>
    </row>
    <row r="66" spans="1:7" x14ac:dyDescent="0.3">
      <c r="A66" s="9">
        <v>45942</v>
      </c>
      <c r="B66" s="2" t="s">
        <v>15</v>
      </c>
      <c r="C66" s="2" t="s">
        <v>18</v>
      </c>
      <c r="D66" s="2">
        <v>2</v>
      </c>
      <c r="E66" s="3">
        <v>1090.8</v>
      </c>
      <c r="F66" s="3">
        <f t="shared" ref="F66:F97" si="2">D66*E66</f>
        <v>2181.6</v>
      </c>
      <c r="G66" s="2" t="s">
        <v>20</v>
      </c>
    </row>
    <row r="67" spans="1:7" x14ac:dyDescent="0.3">
      <c r="A67" s="9">
        <v>45943</v>
      </c>
      <c r="B67" s="2" t="s">
        <v>8</v>
      </c>
      <c r="C67" s="2" t="s">
        <v>17</v>
      </c>
      <c r="D67" s="2">
        <v>3</v>
      </c>
      <c r="E67" s="3">
        <v>378.8</v>
      </c>
      <c r="F67" s="3">
        <f t="shared" si="2"/>
        <v>1136.4000000000001</v>
      </c>
      <c r="G67" s="2" t="s">
        <v>19</v>
      </c>
    </row>
    <row r="68" spans="1:7" x14ac:dyDescent="0.3">
      <c r="A68" s="9">
        <v>45943</v>
      </c>
      <c r="B68" s="2" t="s">
        <v>10</v>
      </c>
      <c r="C68" s="2" t="s">
        <v>16</v>
      </c>
      <c r="D68" s="2">
        <v>4</v>
      </c>
      <c r="E68" s="3">
        <v>79.900000000000006</v>
      </c>
      <c r="F68" s="3">
        <f t="shared" si="2"/>
        <v>319.60000000000002</v>
      </c>
      <c r="G68" s="2" t="s">
        <v>19</v>
      </c>
    </row>
    <row r="69" spans="1:7" x14ac:dyDescent="0.3">
      <c r="A69" s="9">
        <v>45951</v>
      </c>
      <c r="B69" s="2" t="s">
        <v>12</v>
      </c>
      <c r="C69" s="2" t="s">
        <v>16</v>
      </c>
      <c r="D69" s="2">
        <v>1</v>
      </c>
      <c r="E69" s="3">
        <v>107.3</v>
      </c>
      <c r="F69" s="3">
        <f t="shared" si="2"/>
        <v>107.3</v>
      </c>
      <c r="G69" s="2" t="s">
        <v>20</v>
      </c>
    </row>
    <row r="70" spans="1:7" x14ac:dyDescent="0.3">
      <c r="A70" s="9">
        <v>45951</v>
      </c>
      <c r="B70" s="2" t="s">
        <v>13</v>
      </c>
      <c r="C70" s="2" t="s">
        <v>16</v>
      </c>
      <c r="D70" s="2">
        <v>1</v>
      </c>
      <c r="E70" s="3">
        <v>297.5</v>
      </c>
      <c r="F70" s="3">
        <f t="shared" si="2"/>
        <v>297.5</v>
      </c>
      <c r="G70" s="2" t="s">
        <v>19</v>
      </c>
    </row>
    <row r="71" spans="1:7" x14ac:dyDescent="0.3">
      <c r="A71" s="9">
        <v>45954</v>
      </c>
      <c r="B71" s="2" t="s">
        <v>11</v>
      </c>
      <c r="C71" s="2" t="s">
        <v>16</v>
      </c>
      <c r="D71" s="2">
        <v>1</v>
      </c>
      <c r="E71" s="3">
        <v>54.99</v>
      </c>
      <c r="F71" s="3">
        <f t="shared" si="2"/>
        <v>54.99</v>
      </c>
      <c r="G71" s="2" t="s">
        <v>19</v>
      </c>
    </row>
    <row r="72" spans="1:7" x14ac:dyDescent="0.3">
      <c r="A72" s="9">
        <v>45954</v>
      </c>
      <c r="B72" s="2" t="s">
        <v>12</v>
      </c>
      <c r="C72" s="2" t="s">
        <v>16</v>
      </c>
      <c r="D72" s="2">
        <v>1</v>
      </c>
      <c r="E72" s="3">
        <v>107.3</v>
      </c>
      <c r="F72" s="3">
        <f t="shared" si="2"/>
        <v>107.3</v>
      </c>
      <c r="G72" s="2" t="s">
        <v>19</v>
      </c>
    </row>
    <row r="73" spans="1:7" x14ac:dyDescent="0.3">
      <c r="A73" s="9">
        <v>45956</v>
      </c>
      <c r="B73" s="2" t="s">
        <v>9</v>
      </c>
      <c r="C73" s="2" t="s">
        <v>18</v>
      </c>
      <c r="D73" s="2">
        <v>1</v>
      </c>
      <c r="E73" s="3">
        <v>2289</v>
      </c>
      <c r="F73" s="3">
        <f t="shared" si="2"/>
        <v>2289</v>
      </c>
      <c r="G73" s="2" t="s">
        <v>20</v>
      </c>
    </row>
    <row r="74" spans="1:7" x14ac:dyDescent="0.3">
      <c r="A74" s="9">
        <v>45956</v>
      </c>
      <c r="B74" s="2" t="s">
        <v>12</v>
      </c>
      <c r="C74" s="2" t="s">
        <v>16</v>
      </c>
      <c r="D74" s="2">
        <v>3</v>
      </c>
      <c r="E74" s="3">
        <v>107.3</v>
      </c>
      <c r="F74" s="3">
        <f t="shared" si="2"/>
        <v>321.89999999999998</v>
      </c>
      <c r="G74" s="2" t="s">
        <v>19</v>
      </c>
    </row>
    <row r="75" spans="1:7" x14ac:dyDescent="0.3">
      <c r="A75" s="9">
        <v>45957</v>
      </c>
      <c r="B75" s="2" t="s">
        <v>7</v>
      </c>
      <c r="C75" s="2" t="s">
        <v>17</v>
      </c>
      <c r="D75" s="2">
        <v>1</v>
      </c>
      <c r="E75" s="3">
        <v>677.87</v>
      </c>
      <c r="F75" s="3">
        <f t="shared" si="2"/>
        <v>677.87</v>
      </c>
      <c r="G75" s="2" t="s">
        <v>20</v>
      </c>
    </row>
    <row r="76" spans="1:7" x14ac:dyDescent="0.3">
      <c r="A76" s="9">
        <v>45957</v>
      </c>
      <c r="B76" s="2" t="s">
        <v>12</v>
      </c>
      <c r="C76" s="2" t="s">
        <v>16</v>
      </c>
      <c r="D76" s="2">
        <v>1</v>
      </c>
      <c r="E76" s="3">
        <v>107.3</v>
      </c>
      <c r="F76" s="3">
        <f t="shared" si="2"/>
        <v>107.3</v>
      </c>
      <c r="G76" s="2" t="s">
        <v>19</v>
      </c>
    </row>
    <row r="77" spans="1:7" x14ac:dyDescent="0.3">
      <c r="A77" s="9">
        <v>45958</v>
      </c>
      <c r="B77" s="2" t="s">
        <v>13</v>
      </c>
      <c r="C77" s="2" t="s">
        <v>16</v>
      </c>
      <c r="D77" s="2">
        <v>1</v>
      </c>
      <c r="E77" s="3">
        <v>297.5</v>
      </c>
      <c r="F77" s="3">
        <f t="shared" si="2"/>
        <v>297.5</v>
      </c>
      <c r="G77" s="2" t="s">
        <v>20</v>
      </c>
    </row>
    <row r="78" spans="1:7" x14ac:dyDescent="0.3">
      <c r="A78" s="9">
        <v>45962</v>
      </c>
      <c r="B78" s="2" t="s">
        <v>10</v>
      </c>
      <c r="C78" s="2" t="s">
        <v>16</v>
      </c>
      <c r="D78" s="2">
        <v>2</v>
      </c>
      <c r="E78" s="3">
        <v>79.900000000000006</v>
      </c>
      <c r="F78" s="3">
        <f t="shared" si="2"/>
        <v>159.80000000000001</v>
      </c>
      <c r="G78" s="2" t="s">
        <v>20</v>
      </c>
    </row>
    <row r="79" spans="1:7" x14ac:dyDescent="0.3">
      <c r="A79" s="9">
        <v>45963</v>
      </c>
      <c r="B79" s="2" t="s">
        <v>7</v>
      </c>
      <c r="C79" s="2" t="s">
        <v>17</v>
      </c>
      <c r="D79" s="2">
        <v>1</v>
      </c>
      <c r="E79" s="3">
        <v>677.87</v>
      </c>
      <c r="F79" s="3">
        <f t="shared" si="2"/>
        <v>677.87</v>
      </c>
      <c r="G79" s="2" t="s">
        <v>20</v>
      </c>
    </row>
    <row r="80" spans="1:7" x14ac:dyDescent="0.3">
      <c r="A80" s="9">
        <v>45967</v>
      </c>
      <c r="B80" s="2" t="s">
        <v>13</v>
      </c>
      <c r="C80" s="2" t="s">
        <v>16</v>
      </c>
      <c r="D80" s="2">
        <v>2</v>
      </c>
      <c r="E80" s="3">
        <v>297.5</v>
      </c>
      <c r="F80" s="3">
        <f t="shared" si="2"/>
        <v>595</v>
      </c>
      <c r="G80" s="2" t="s">
        <v>19</v>
      </c>
    </row>
    <row r="81" spans="1:7" x14ac:dyDescent="0.3">
      <c r="A81" s="9">
        <v>45968</v>
      </c>
      <c r="B81" s="2" t="s">
        <v>6</v>
      </c>
      <c r="C81" s="2" t="s">
        <v>17</v>
      </c>
      <c r="D81" s="2">
        <v>1</v>
      </c>
      <c r="E81" s="3">
        <v>1699</v>
      </c>
      <c r="F81" s="3">
        <f t="shared" si="2"/>
        <v>1699</v>
      </c>
      <c r="G81" s="2" t="s">
        <v>20</v>
      </c>
    </row>
    <row r="82" spans="1:7" x14ac:dyDescent="0.3">
      <c r="A82" s="9">
        <v>45970</v>
      </c>
      <c r="B82" s="2" t="s">
        <v>14</v>
      </c>
      <c r="C82" s="2" t="s">
        <v>18</v>
      </c>
      <c r="D82" s="2">
        <v>1</v>
      </c>
      <c r="E82" s="3">
        <v>1749.22</v>
      </c>
      <c r="F82" s="3">
        <f t="shared" si="2"/>
        <v>1749.22</v>
      </c>
      <c r="G82" s="2" t="s">
        <v>19</v>
      </c>
    </row>
    <row r="83" spans="1:7" x14ac:dyDescent="0.3">
      <c r="A83" s="9">
        <v>45971</v>
      </c>
      <c r="B83" s="2" t="s">
        <v>9</v>
      </c>
      <c r="C83" s="2" t="s">
        <v>18</v>
      </c>
      <c r="D83" s="2">
        <v>1</v>
      </c>
      <c r="E83" s="3">
        <v>2289</v>
      </c>
      <c r="F83" s="3">
        <f t="shared" si="2"/>
        <v>2289</v>
      </c>
      <c r="G83" s="2" t="s">
        <v>20</v>
      </c>
    </row>
    <row r="84" spans="1:7" x14ac:dyDescent="0.3">
      <c r="A84" s="9">
        <v>45972</v>
      </c>
      <c r="B84" s="2" t="s">
        <v>6</v>
      </c>
      <c r="C84" s="2" t="s">
        <v>17</v>
      </c>
      <c r="D84" s="2">
        <v>2</v>
      </c>
      <c r="E84" s="3">
        <v>1699</v>
      </c>
      <c r="F84" s="3">
        <f t="shared" si="2"/>
        <v>3398</v>
      </c>
      <c r="G84" s="2" t="s">
        <v>19</v>
      </c>
    </row>
    <row r="85" spans="1:7" x14ac:dyDescent="0.3">
      <c r="A85" s="9">
        <v>45972</v>
      </c>
      <c r="B85" s="2" t="s">
        <v>12</v>
      </c>
      <c r="C85" s="2" t="s">
        <v>16</v>
      </c>
      <c r="D85" s="2">
        <v>1</v>
      </c>
      <c r="E85" s="3">
        <v>107.3</v>
      </c>
      <c r="F85" s="3">
        <f t="shared" si="2"/>
        <v>107.3</v>
      </c>
      <c r="G85" s="2" t="s">
        <v>19</v>
      </c>
    </row>
    <row r="86" spans="1:7" x14ac:dyDescent="0.3">
      <c r="A86" s="9">
        <v>45973</v>
      </c>
      <c r="B86" s="2" t="s">
        <v>14</v>
      </c>
      <c r="C86" s="2" t="s">
        <v>18</v>
      </c>
      <c r="D86" s="2">
        <v>2</v>
      </c>
      <c r="E86" s="3">
        <v>1749.22</v>
      </c>
      <c r="F86" s="3">
        <f t="shared" si="2"/>
        <v>3498.44</v>
      </c>
      <c r="G86" s="2" t="s">
        <v>19</v>
      </c>
    </row>
    <row r="87" spans="1:7" x14ac:dyDescent="0.3">
      <c r="A87" s="9">
        <v>45978</v>
      </c>
      <c r="B87" s="2" t="s">
        <v>13</v>
      </c>
      <c r="C87" s="2" t="s">
        <v>16</v>
      </c>
      <c r="D87" s="2">
        <v>1</v>
      </c>
      <c r="E87" s="3">
        <v>297.5</v>
      </c>
      <c r="F87" s="3">
        <f t="shared" si="2"/>
        <v>297.5</v>
      </c>
      <c r="G87" s="2" t="s">
        <v>20</v>
      </c>
    </row>
    <row r="88" spans="1:7" x14ac:dyDescent="0.3">
      <c r="A88" s="9">
        <v>45980</v>
      </c>
      <c r="B88" s="2" t="s">
        <v>14</v>
      </c>
      <c r="C88" s="2" t="s">
        <v>18</v>
      </c>
      <c r="D88" s="2">
        <v>1</v>
      </c>
      <c r="E88" s="3">
        <v>1749.22</v>
      </c>
      <c r="F88" s="3">
        <f t="shared" si="2"/>
        <v>1749.22</v>
      </c>
      <c r="G88" s="2" t="s">
        <v>20</v>
      </c>
    </row>
    <row r="89" spans="1:7" x14ac:dyDescent="0.3">
      <c r="A89" s="9">
        <v>45980</v>
      </c>
      <c r="B89" s="2" t="s">
        <v>13</v>
      </c>
      <c r="C89" s="2" t="s">
        <v>16</v>
      </c>
      <c r="D89" s="2">
        <v>2</v>
      </c>
      <c r="E89" s="3">
        <v>297.5</v>
      </c>
      <c r="F89" s="3">
        <f t="shared" si="2"/>
        <v>595</v>
      </c>
      <c r="G89" s="2" t="s">
        <v>19</v>
      </c>
    </row>
    <row r="90" spans="1:7" x14ac:dyDescent="0.3">
      <c r="A90" s="9">
        <v>45980</v>
      </c>
      <c r="B90" s="2" t="s">
        <v>13</v>
      </c>
      <c r="C90" s="2" t="s">
        <v>16</v>
      </c>
      <c r="D90" s="2">
        <v>1</v>
      </c>
      <c r="E90" s="3">
        <v>297.5</v>
      </c>
      <c r="F90" s="3">
        <f t="shared" si="2"/>
        <v>297.5</v>
      </c>
      <c r="G90" s="2" t="s">
        <v>19</v>
      </c>
    </row>
    <row r="91" spans="1:7" x14ac:dyDescent="0.3">
      <c r="A91" s="9">
        <v>45982</v>
      </c>
      <c r="B91" s="2" t="s">
        <v>13</v>
      </c>
      <c r="C91" s="2" t="s">
        <v>16</v>
      </c>
      <c r="D91" s="2">
        <v>1</v>
      </c>
      <c r="E91" s="3">
        <v>297.5</v>
      </c>
      <c r="F91" s="3">
        <f t="shared" si="2"/>
        <v>297.5</v>
      </c>
      <c r="G91" s="2" t="s">
        <v>20</v>
      </c>
    </row>
    <row r="92" spans="1:7" x14ac:dyDescent="0.3">
      <c r="A92" s="9">
        <v>45984</v>
      </c>
      <c r="B92" s="2" t="s">
        <v>7</v>
      </c>
      <c r="C92" s="2" t="s">
        <v>17</v>
      </c>
      <c r="D92" s="2">
        <v>1</v>
      </c>
      <c r="E92" s="3">
        <v>677.87</v>
      </c>
      <c r="F92" s="3">
        <f t="shared" si="2"/>
        <v>677.87</v>
      </c>
      <c r="G92" s="2" t="s">
        <v>19</v>
      </c>
    </row>
    <row r="93" spans="1:7" x14ac:dyDescent="0.3">
      <c r="A93" s="9">
        <v>45985</v>
      </c>
      <c r="B93" s="2" t="s">
        <v>13</v>
      </c>
      <c r="C93" s="2" t="s">
        <v>16</v>
      </c>
      <c r="D93" s="2">
        <v>1</v>
      </c>
      <c r="E93" s="3">
        <v>297.5</v>
      </c>
      <c r="F93" s="3">
        <f t="shared" si="2"/>
        <v>297.5</v>
      </c>
      <c r="G93" s="2" t="s">
        <v>19</v>
      </c>
    </row>
    <row r="94" spans="1:7" x14ac:dyDescent="0.3">
      <c r="A94" s="9">
        <v>45985</v>
      </c>
      <c r="B94" s="2" t="s">
        <v>9</v>
      </c>
      <c r="C94" s="2" t="s">
        <v>18</v>
      </c>
      <c r="D94" s="2">
        <v>1</v>
      </c>
      <c r="E94" s="3">
        <v>2289</v>
      </c>
      <c r="F94" s="3">
        <f t="shared" si="2"/>
        <v>2289</v>
      </c>
      <c r="G94" s="2" t="s">
        <v>20</v>
      </c>
    </row>
    <row r="95" spans="1:7" x14ac:dyDescent="0.3">
      <c r="A95" s="9">
        <v>45986</v>
      </c>
      <c r="B95" s="2" t="s">
        <v>7</v>
      </c>
      <c r="C95" s="2" t="s">
        <v>17</v>
      </c>
      <c r="D95" s="2">
        <v>1</v>
      </c>
      <c r="E95" s="3">
        <v>677.87</v>
      </c>
      <c r="F95" s="3">
        <f t="shared" si="2"/>
        <v>677.87</v>
      </c>
      <c r="G95" s="2" t="s">
        <v>20</v>
      </c>
    </row>
    <row r="96" spans="1:7" x14ac:dyDescent="0.3">
      <c r="A96" s="9">
        <v>45986</v>
      </c>
      <c r="B96" s="2" t="s">
        <v>11</v>
      </c>
      <c r="C96" s="2" t="s">
        <v>16</v>
      </c>
      <c r="D96" s="2">
        <v>1</v>
      </c>
      <c r="E96" s="3">
        <v>54.99</v>
      </c>
      <c r="F96" s="3">
        <f t="shared" si="2"/>
        <v>54.99</v>
      </c>
      <c r="G96" s="2" t="s">
        <v>19</v>
      </c>
    </row>
    <row r="97" spans="1:7" x14ac:dyDescent="0.3">
      <c r="A97" s="9">
        <v>45986</v>
      </c>
      <c r="B97" s="2" t="s">
        <v>8</v>
      </c>
      <c r="C97" s="2" t="s">
        <v>17</v>
      </c>
      <c r="D97" s="2">
        <v>1</v>
      </c>
      <c r="E97" s="3">
        <v>378.8</v>
      </c>
      <c r="F97" s="3">
        <f t="shared" si="2"/>
        <v>378.8</v>
      </c>
      <c r="G97" s="2" t="s">
        <v>19</v>
      </c>
    </row>
    <row r="98" spans="1:7" x14ac:dyDescent="0.3">
      <c r="A98" s="9">
        <v>45988</v>
      </c>
      <c r="B98" s="2" t="s">
        <v>8</v>
      </c>
      <c r="C98" s="2" t="s">
        <v>17</v>
      </c>
      <c r="D98" s="2">
        <v>2</v>
      </c>
      <c r="E98" s="3">
        <v>378.8</v>
      </c>
      <c r="F98" s="3">
        <f t="shared" ref="F98:F122" si="3">D98*E98</f>
        <v>757.6</v>
      </c>
      <c r="G98" s="2" t="s">
        <v>19</v>
      </c>
    </row>
    <row r="99" spans="1:7" x14ac:dyDescent="0.3">
      <c r="A99" s="9">
        <v>45988</v>
      </c>
      <c r="B99" s="2" t="s">
        <v>15</v>
      </c>
      <c r="C99" s="2" t="s">
        <v>18</v>
      </c>
      <c r="D99" s="2">
        <v>1</v>
      </c>
      <c r="E99" s="3">
        <v>1090.8</v>
      </c>
      <c r="F99" s="3">
        <f t="shared" si="3"/>
        <v>1090.8</v>
      </c>
      <c r="G99" s="2" t="s">
        <v>20</v>
      </c>
    </row>
    <row r="100" spans="1:7" x14ac:dyDescent="0.3">
      <c r="A100" s="9">
        <v>45989</v>
      </c>
      <c r="B100" s="2" t="s">
        <v>12</v>
      </c>
      <c r="C100" s="2" t="s">
        <v>16</v>
      </c>
      <c r="D100" s="2">
        <v>1</v>
      </c>
      <c r="E100" s="3">
        <v>107.3</v>
      </c>
      <c r="F100" s="3">
        <f t="shared" si="3"/>
        <v>107.3</v>
      </c>
      <c r="G100" s="2" t="s">
        <v>20</v>
      </c>
    </row>
    <row r="101" spans="1:7" x14ac:dyDescent="0.3">
      <c r="A101" s="9">
        <v>45989</v>
      </c>
      <c r="B101" s="2" t="s">
        <v>8</v>
      </c>
      <c r="C101" s="2" t="s">
        <v>17</v>
      </c>
      <c r="D101" s="2">
        <v>1</v>
      </c>
      <c r="E101" s="3">
        <v>378.8</v>
      </c>
      <c r="F101" s="3">
        <f t="shared" si="3"/>
        <v>378.8</v>
      </c>
      <c r="G101" s="2" t="s">
        <v>20</v>
      </c>
    </row>
    <row r="102" spans="1:7" x14ac:dyDescent="0.3">
      <c r="A102" s="9">
        <v>45994</v>
      </c>
      <c r="B102" s="2" t="s">
        <v>10</v>
      </c>
      <c r="C102" s="2" t="s">
        <v>16</v>
      </c>
      <c r="D102" s="2">
        <v>2</v>
      </c>
      <c r="E102" s="3">
        <v>79.900000000000006</v>
      </c>
      <c r="F102" s="3">
        <f t="shared" si="3"/>
        <v>159.80000000000001</v>
      </c>
      <c r="G102" s="2" t="s">
        <v>19</v>
      </c>
    </row>
    <row r="103" spans="1:7" x14ac:dyDescent="0.3">
      <c r="A103" s="9">
        <v>45998</v>
      </c>
      <c r="B103" s="2" t="s">
        <v>8</v>
      </c>
      <c r="C103" s="2" t="s">
        <v>17</v>
      </c>
      <c r="D103" s="2">
        <v>1</v>
      </c>
      <c r="E103" s="3">
        <v>378.8</v>
      </c>
      <c r="F103" s="3">
        <f t="shared" si="3"/>
        <v>378.8</v>
      </c>
      <c r="G103" s="2" t="s">
        <v>19</v>
      </c>
    </row>
    <row r="104" spans="1:7" x14ac:dyDescent="0.3">
      <c r="A104" s="9">
        <v>45999</v>
      </c>
      <c r="B104" s="2" t="s">
        <v>10</v>
      </c>
      <c r="C104" s="2" t="s">
        <v>16</v>
      </c>
      <c r="D104" s="2">
        <v>2</v>
      </c>
      <c r="E104" s="3">
        <v>79.900000000000006</v>
      </c>
      <c r="F104" s="3">
        <f t="shared" si="3"/>
        <v>159.80000000000001</v>
      </c>
      <c r="G104" s="2" t="s">
        <v>20</v>
      </c>
    </row>
    <row r="105" spans="1:7" x14ac:dyDescent="0.3">
      <c r="A105" s="9">
        <v>45999</v>
      </c>
      <c r="B105" s="2" t="s">
        <v>6</v>
      </c>
      <c r="C105" s="2" t="s">
        <v>17</v>
      </c>
      <c r="D105" s="2">
        <v>1</v>
      </c>
      <c r="E105" s="3">
        <v>1699</v>
      </c>
      <c r="F105" s="3">
        <f t="shared" si="3"/>
        <v>1699</v>
      </c>
      <c r="G105" s="2" t="s">
        <v>19</v>
      </c>
    </row>
    <row r="106" spans="1:7" x14ac:dyDescent="0.3">
      <c r="A106" s="9">
        <v>45999</v>
      </c>
      <c r="B106" s="2" t="s">
        <v>14</v>
      </c>
      <c r="C106" s="2" t="s">
        <v>18</v>
      </c>
      <c r="D106" s="2">
        <v>1</v>
      </c>
      <c r="E106" s="3">
        <v>1749.22</v>
      </c>
      <c r="F106" s="3">
        <f t="shared" si="3"/>
        <v>1749.22</v>
      </c>
      <c r="G106" s="2" t="s">
        <v>19</v>
      </c>
    </row>
    <row r="107" spans="1:7" x14ac:dyDescent="0.3">
      <c r="A107" s="9">
        <v>46001</v>
      </c>
      <c r="B107" s="2" t="s">
        <v>6</v>
      </c>
      <c r="C107" s="2" t="s">
        <v>17</v>
      </c>
      <c r="D107" s="2">
        <v>1</v>
      </c>
      <c r="E107" s="3">
        <v>1699</v>
      </c>
      <c r="F107" s="3">
        <f t="shared" si="3"/>
        <v>1699</v>
      </c>
      <c r="G107" s="2" t="s">
        <v>20</v>
      </c>
    </row>
    <row r="108" spans="1:7" x14ac:dyDescent="0.3">
      <c r="A108" s="9">
        <v>46004</v>
      </c>
      <c r="B108" s="2" t="s">
        <v>12</v>
      </c>
      <c r="C108" s="2" t="s">
        <v>16</v>
      </c>
      <c r="D108" s="2">
        <v>2</v>
      </c>
      <c r="E108" s="3">
        <v>107.3</v>
      </c>
      <c r="F108" s="3">
        <f t="shared" si="3"/>
        <v>214.6</v>
      </c>
      <c r="G108" s="2" t="s">
        <v>19</v>
      </c>
    </row>
    <row r="109" spans="1:7" x14ac:dyDescent="0.3">
      <c r="A109" s="9">
        <v>46005</v>
      </c>
      <c r="B109" s="2" t="s">
        <v>13</v>
      </c>
      <c r="C109" s="2" t="s">
        <v>16</v>
      </c>
      <c r="D109" s="2">
        <v>1</v>
      </c>
      <c r="E109" s="3">
        <v>297.5</v>
      </c>
      <c r="F109" s="3">
        <f t="shared" si="3"/>
        <v>297.5</v>
      </c>
      <c r="G109" s="2" t="s">
        <v>20</v>
      </c>
    </row>
    <row r="110" spans="1:7" x14ac:dyDescent="0.3">
      <c r="A110" s="9">
        <v>46005</v>
      </c>
      <c r="B110" s="2" t="s">
        <v>11</v>
      </c>
      <c r="C110" s="2" t="s">
        <v>16</v>
      </c>
      <c r="D110" s="2">
        <v>3</v>
      </c>
      <c r="E110" s="3">
        <v>54.99</v>
      </c>
      <c r="F110" s="3">
        <f t="shared" si="3"/>
        <v>164.97</v>
      </c>
      <c r="G110" s="2" t="s">
        <v>19</v>
      </c>
    </row>
    <row r="111" spans="1:7" x14ac:dyDescent="0.3">
      <c r="A111" s="9">
        <v>46009</v>
      </c>
      <c r="B111" s="2" t="s">
        <v>6</v>
      </c>
      <c r="C111" s="2" t="s">
        <v>17</v>
      </c>
      <c r="D111" s="2">
        <v>1</v>
      </c>
      <c r="E111" s="3">
        <v>1699</v>
      </c>
      <c r="F111" s="3">
        <f t="shared" si="3"/>
        <v>1699</v>
      </c>
      <c r="G111" s="2" t="s">
        <v>19</v>
      </c>
    </row>
    <row r="112" spans="1:7" x14ac:dyDescent="0.3">
      <c r="A112" s="9">
        <v>46010</v>
      </c>
      <c r="B112" s="2" t="s">
        <v>14</v>
      </c>
      <c r="C112" s="2" t="s">
        <v>18</v>
      </c>
      <c r="D112" s="2">
        <v>2</v>
      </c>
      <c r="E112" s="3">
        <v>1749.22</v>
      </c>
      <c r="F112" s="3">
        <f t="shared" si="3"/>
        <v>3498.44</v>
      </c>
      <c r="G112" s="2" t="s">
        <v>19</v>
      </c>
    </row>
    <row r="113" spans="1:7" x14ac:dyDescent="0.3">
      <c r="A113" s="9">
        <v>46010</v>
      </c>
      <c r="B113" s="2" t="s">
        <v>9</v>
      </c>
      <c r="C113" s="2" t="s">
        <v>18</v>
      </c>
      <c r="D113" s="2">
        <v>1</v>
      </c>
      <c r="E113" s="3">
        <v>2289</v>
      </c>
      <c r="F113" s="3">
        <f t="shared" si="3"/>
        <v>2289</v>
      </c>
      <c r="G113" s="2" t="s">
        <v>20</v>
      </c>
    </row>
    <row r="114" spans="1:7" x14ac:dyDescent="0.3">
      <c r="A114" s="9">
        <v>46013</v>
      </c>
      <c r="B114" s="2" t="s">
        <v>15</v>
      </c>
      <c r="C114" s="2" t="s">
        <v>18</v>
      </c>
      <c r="D114" s="2">
        <v>2</v>
      </c>
      <c r="E114" s="3">
        <v>1090.8</v>
      </c>
      <c r="F114" s="3">
        <f t="shared" si="3"/>
        <v>2181.6</v>
      </c>
      <c r="G114" s="2" t="s">
        <v>19</v>
      </c>
    </row>
    <row r="115" spans="1:7" x14ac:dyDescent="0.3">
      <c r="A115" s="9">
        <v>46014</v>
      </c>
      <c r="B115" s="2" t="s">
        <v>15</v>
      </c>
      <c r="C115" s="2" t="s">
        <v>18</v>
      </c>
      <c r="D115" s="2">
        <v>1</v>
      </c>
      <c r="E115" s="3">
        <v>1090.8</v>
      </c>
      <c r="F115" s="3">
        <f t="shared" si="3"/>
        <v>1090.8</v>
      </c>
      <c r="G115" s="2" t="s">
        <v>19</v>
      </c>
    </row>
    <row r="116" spans="1:7" x14ac:dyDescent="0.3">
      <c r="A116" s="9">
        <v>46014</v>
      </c>
      <c r="B116" s="2" t="s">
        <v>11</v>
      </c>
      <c r="C116" s="2" t="s">
        <v>16</v>
      </c>
      <c r="D116" s="2">
        <v>2</v>
      </c>
      <c r="E116" s="3">
        <v>54.99</v>
      </c>
      <c r="F116" s="3">
        <f t="shared" si="3"/>
        <v>109.98</v>
      </c>
      <c r="G116" s="2" t="s">
        <v>20</v>
      </c>
    </row>
    <row r="117" spans="1:7" x14ac:dyDescent="0.3">
      <c r="A117" s="9">
        <v>46014</v>
      </c>
      <c r="B117" s="2" t="s">
        <v>9</v>
      </c>
      <c r="C117" s="2" t="s">
        <v>18</v>
      </c>
      <c r="D117" s="2">
        <v>1</v>
      </c>
      <c r="E117" s="3">
        <v>2289</v>
      </c>
      <c r="F117" s="3">
        <f t="shared" si="3"/>
        <v>2289</v>
      </c>
      <c r="G117" s="2" t="s">
        <v>20</v>
      </c>
    </row>
    <row r="118" spans="1:7" x14ac:dyDescent="0.3">
      <c r="A118" s="9">
        <v>46015</v>
      </c>
      <c r="B118" s="2" t="s">
        <v>12</v>
      </c>
      <c r="C118" s="2" t="s">
        <v>16</v>
      </c>
      <c r="D118" s="2">
        <v>1</v>
      </c>
      <c r="E118" s="3">
        <v>107.3</v>
      </c>
      <c r="F118" s="3">
        <f t="shared" si="3"/>
        <v>107.3</v>
      </c>
      <c r="G118" s="2" t="s">
        <v>19</v>
      </c>
    </row>
    <row r="119" spans="1:7" x14ac:dyDescent="0.3">
      <c r="A119" s="9">
        <v>46018</v>
      </c>
      <c r="B119" s="2" t="s">
        <v>13</v>
      </c>
      <c r="C119" s="2" t="s">
        <v>16</v>
      </c>
      <c r="D119" s="2">
        <v>1</v>
      </c>
      <c r="E119" s="3">
        <v>297.5</v>
      </c>
      <c r="F119" s="3">
        <f t="shared" si="3"/>
        <v>297.5</v>
      </c>
      <c r="G119" s="2" t="s">
        <v>19</v>
      </c>
    </row>
    <row r="120" spans="1:7" x14ac:dyDescent="0.3">
      <c r="A120" s="9">
        <v>46020</v>
      </c>
      <c r="B120" s="2" t="s">
        <v>13</v>
      </c>
      <c r="C120" s="2" t="s">
        <v>16</v>
      </c>
      <c r="D120" s="2">
        <v>1</v>
      </c>
      <c r="E120" s="3">
        <v>297.5</v>
      </c>
      <c r="F120" s="3">
        <f t="shared" si="3"/>
        <v>297.5</v>
      </c>
      <c r="G120" s="2" t="s">
        <v>19</v>
      </c>
    </row>
    <row r="121" spans="1:7" x14ac:dyDescent="0.3">
      <c r="A121" s="9">
        <v>46021</v>
      </c>
      <c r="B121" s="2" t="s">
        <v>8</v>
      </c>
      <c r="C121" s="2" t="s">
        <v>17</v>
      </c>
      <c r="D121" s="2">
        <v>1</v>
      </c>
      <c r="E121" s="3">
        <v>378.8</v>
      </c>
      <c r="F121" s="3">
        <f t="shared" si="3"/>
        <v>378.8</v>
      </c>
      <c r="G121" s="2" t="s">
        <v>19</v>
      </c>
    </row>
    <row r="122" spans="1:7" x14ac:dyDescent="0.3">
      <c r="A122" s="9">
        <v>46022</v>
      </c>
      <c r="B122" s="2" t="s">
        <v>8</v>
      </c>
      <c r="C122" s="2" t="s">
        <v>17</v>
      </c>
      <c r="D122" s="2">
        <v>4</v>
      </c>
      <c r="E122" s="3">
        <v>378.8</v>
      </c>
      <c r="F122" s="3">
        <f t="shared" si="3"/>
        <v>1515.2</v>
      </c>
      <c r="G122" s="2" t="s">
        <v>20</v>
      </c>
    </row>
    <row r="123" spans="1:7" x14ac:dyDescent="0.3">
      <c r="B123" s="2"/>
    </row>
    <row r="124" spans="1:7" x14ac:dyDescent="0.3">
      <c r="B124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FDBC-3970-48D1-B387-C7C40C056F73}">
  <dimension ref="B2:T125"/>
  <sheetViews>
    <sheetView workbookViewId="0">
      <selection activeCell="K6" sqref="K6"/>
    </sheetView>
  </sheetViews>
  <sheetFormatPr defaultRowHeight="14.4" x14ac:dyDescent="0.3"/>
  <cols>
    <col min="1" max="1" width="3.5546875" customWidth="1"/>
    <col min="2" max="2" width="15.6640625" customWidth="1"/>
    <col min="3" max="3" width="10.21875" customWidth="1"/>
    <col min="4" max="4" width="13.6640625" customWidth="1"/>
    <col min="5" max="5" width="16.44140625" customWidth="1"/>
    <col min="6" max="6" width="13" customWidth="1"/>
    <col min="7" max="7" width="14.5546875" customWidth="1"/>
    <col min="8" max="8" width="19.88671875" bestFit="1" customWidth="1"/>
    <col min="9" max="9" width="20.109375" customWidth="1"/>
    <col min="10" max="10" width="13.21875" customWidth="1"/>
    <col min="12" max="13" width="12.44140625" customWidth="1"/>
    <col min="14" max="15" width="12.44140625" hidden="1" customWidth="1"/>
    <col min="16" max="16" width="12.33203125" customWidth="1"/>
    <col min="17" max="17" width="13" customWidth="1"/>
    <col min="18" max="18" width="13.21875" customWidth="1"/>
    <col min="19" max="19" width="19.33203125" bestFit="1" customWidth="1"/>
    <col min="20" max="20" width="9" customWidth="1"/>
    <col min="21" max="21" width="12.33203125" bestFit="1" customWidth="1"/>
    <col min="22" max="22" width="10.5546875" bestFit="1" customWidth="1"/>
  </cols>
  <sheetData>
    <row r="2" spans="2:20" x14ac:dyDescent="0.3">
      <c r="B2" s="4" t="s">
        <v>0</v>
      </c>
      <c r="C2" s="4" t="s">
        <v>24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22</v>
      </c>
      <c r="I2" s="4" t="s">
        <v>5</v>
      </c>
    </row>
    <row r="3" spans="2:20" x14ac:dyDescent="0.3">
      <c r="B3" s="5">
        <v>45841</v>
      </c>
      <c r="C3" s="5" t="str">
        <f>TEXT(B3,"Mmmm")</f>
        <v>julho</v>
      </c>
      <c r="D3" s="6" t="s">
        <v>12</v>
      </c>
      <c r="E3" s="6" t="s">
        <v>16</v>
      </c>
      <c r="F3" s="6">
        <v>1</v>
      </c>
      <c r="G3" s="7">
        <v>107.3</v>
      </c>
      <c r="H3" s="7">
        <f t="shared" ref="H3:H66" si="0">F3*G3</f>
        <v>107.3</v>
      </c>
      <c r="I3" s="6" t="s">
        <v>20</v>
      </c>
    </row>
    <row r="4" spans="2:20" x14ac:dyDescent="0.3">
      <c r="B4" s="5">
        <v>45841</v>
      </c>
      <c r="C4" s="5" t="str">
        <f t="shared" ref="C4:C67" si="1">TEXT(B4,"Mmmm")</f>
        <v>julho</v>
      </c>
      <c r="D4" s="6" t="s">
        <v>8</v>
      </c>
      <c r="E4" s="6" t="s">
        <v>17</v>
      </c>
      <c r="F4" s="6">
        <v>1</v>
      </c>
      <c r="G4" s="7">
        <v>378.8</v>
      </c>
      <c r="H4" s="7">
        <f t="shared" si="0"/>
        <v>378.8</v>
      </c>
      <c r="I4" s="6" t="s">
        <v>19</v>
      </c>
    </row>
    <row r="5" spans="2:20" x14ac:dyDescent="0.3">
      <c r="B5" s="5">
        <v>45841</v>
      </c>
      <c r="C5" s="5" t="str">
        <f t="shared" si="1"/>
        <v>julho</v>
      </c>
      <c r="D5" s="6" t="s">
        <v>13</v>
      </c>
      <c r="E5" s="6" t="s">
        <v>16</v>
      </c>
      <c r="F5" s="6">
        <v>1</v>
      </c>
      <c r="G5" s="7">
        <v>297.5</v>
      </c>
      <c r="H5" s="7">
        <f t="shared" si="0"/>
        <v>297.5</v>
      </c>
      <c r="I5" s="6" t="s">
        <v>19</v>
      </c>
    </row>
    <row r="6" spans="2:20" x14ac:dyDescent="0.3">
      <c r="B6" s="5">
        <v>45842</v>
      </c>
      <c r="C6" s="5" t="str">
        <f t="shared" si="1"/>
        <v>julho</v>
      </c>
      <c r="D6" s="6" t="s">
        <v>14</v>
      </c>
      <c r="E6" s="6" t="s">
        <v>18</v>
      </c>
      <c r="F6" s="6">
        <v>1</v>
      </c>
      <c r="G6" s="7">
        <v>1749.22</v>
      </c>
      <c r="H6" s="7">
        <f t="shared" si="0"/>
        <v>1749.22</v>
      </c>
      <c r="I6" s="6" t="s">
        <v>20</v>
      </c>
    </row>
    <row r="7" spans="2:20" x14ac:dyDescent="0.3">
      <c r="B7" s="5">
        <v>45843</v>
      </c>
      <c r="C7" s="5" t="str">
        <f t="shared" si="1"/>
        <v>julho</v>
      </c>
      <c r="D7" s="6" t="s">
        <v>10</v>
      </c>
      <c r="E7" s="6" t="s">
        <v>16</v>
      </c>
      <c r="F7" s="6">
        <v>1</v>
      </c>
      <c r="G7" s="7">
        <v>79.900000000000006</v>
      </c>
      <c r="H7" s="7">
        <f t="shared" si="0"/>
        <v>79.900000000000006</v>
      </c>
      <c r="I7" s="6" t="s">
        <v>19</v>
      </c>
      <c r="S7" s="1"/>
      <c r="T7" s="1"/>
    </row>
    <row r="8" spans="2:20" x14ac:dyDescent="0.3">
      <c r="B8" s="5">
        <v>45845</v>
      </c>
      <c r="C8" s="5" t="str">
        <f t="shared" si="1"/>
        <v>julho</v>
      </c>
      <c r="D8" s="6" t="s">
        <v>9</v>
      </c>
      <c r="E8" s="6" t="s">
        <v>18</v>
      </c>
      <c r="F8" s="6">
        <v>1</v>
      </c>
      <c r="G8" s="7">
        <v>2289</v>
      </c>
      <c r="H8" s="7">
        <f t="shared" si="0"/>
        <v>2289</v>
      </c>
      <c r="I8" s="6" t="s">
        <v>19</v>
      </c>
    </row>
    <row r="9" spans="2:20" x14ac:dyDescent="0.3">
      <c r="B9" s="5">
        <v>45845</v>
      </c>
      <c r="C9" s="5" t="str">
        <f t="shared" si="1"/>
        <v>julho</v>
      </c>
      <c r="D9" s="6" t="s">
        <v>10</v>
      </c>
      <c r="E9" s="6" t="s">
        <v>16</v>
      </c>
      <c r="F9" s="6">
        <v>2</v>
      </c>
      <c r="G9" s="7">
        <v>79.900000000000006</v>
      </c>
      <c r="H9" s="7">
        <f t="shared" si="0"/>
        <v>159.80000000000001</v>
      </c>
      <c r="I9" s="6" t="s">
        <v>20</v>
      </c>
    </row>
    <row r="10" spans="2:20" x14ac:dyDescent="0.3">
      <c r="B10" s="5">
        <v>45846</v>
      </c>
      <c r="C10" s="5" t="str">
        <f t="shared" si="1"/>
        <v>julho</v>
      </c>
      <c r="D10" s="6" t="s">
        <v>8</v>
      </c>
      <c r="E10" s="6" t="s">
        <v>17</v>
      </c>
      <c r="F10" s="6">
        <v>1</v>
      </c>
      <c r="G10" s="7">
        <v>378.8</v>
      </c>
      <c r="H10" s="7">
        <f t="shared" si="0"/>
        <v>378.8</v>
      </c>
      <c r="I10" s="6" t="s">
        <v>20</v>
      </c>
    </row>
    <row r="11" spans="2:20" x14ac:dyDescent="0.3">
      <c r="B11" s="5">
        <v>45847</v>
      </c>
      <c r="C11" s="5" t="str">
        <f t="shared" si="1"/>
        <v>julho</v>
      </c>
      <c r="D11" s="6" t="s">
        <v>6</v>
      </c>
      <c r="E11" s="6" t="s">
        <v>17</v>
      </c>
      <c r="F11" s="6">
        <v>1</v>
      </c>
      <c r="G11" s="7">
        <v>1699</v>
      </c>
      <c r="H11" s="7">
        <f t="shared" si="0"/>
        <v>1699</v>
      </c>
      <c r="I11" s="6" t="s">
        <v>19</v>
      </c>
    </row>
    <row r="12" spans="2:20" x14ac:dyDescent="0.3">
      <c r="B12" s="5">
        <v>45849</v>
      </c>
      <c r="C12" s="5" t="str">
        <f t="shared" si="1"/>
        <v>julho</v>
      </c>
      <c r="D12" s="6" t="s">
        <v>11</v>
      </c>
      <c r="E12" s="6" t="s">
        <v>16</v>
      </c>
      <c r="F12" s="6">
        <v>3</v>
      </c>
      <c r="G12" s="7">
        <v>54.99</v>
      </c>
      <c r="H12" s="7">
        <f t="shared" si="0"/>
        <v>164.97</v>
      </c>
      <c r="I12" s="6" t="s">
        <v>20</v>
      </c>
    </row>
    <row r="13" spans="2:20" x14ac:dyDescent="0.3">
      <c r="B13" s="5">
        <v>45850</v>
      </c>
      <c r="C13" s="5" t="str">
        <f t="shared" si="1"/>
        <v>julho</v>
      </c>
      <c r="D13" s="6" t="s">
        <v>14</v>
      </c>
      <c r="E13" s="6" t="s">
        <v>18</v>
      </c>
      <c r="F13" s="6">
        <v>1</v>
      </c>
      <c r="G13" s="7">
        <v>1749.22</v>
      </c>
      <c r="H13" s="7">
        <f t="shared" si="0"/>
        <v>1749.22</v>
      </c>
      <c r="I13" s="6" t="s">
        <v>20</v>
      </c>
    </row>
    <row r="14" spans="2:20" x14ac:dyDescent="0.3">
      <c r="B14" s="5">
        <v>45850</v>
      </c>
      <c r="C14" s="5" t="str">
        <f t="shared" si="1"/>
        <v>julho</v>
      </c>
      <c r="D14" s="6" t="s">
        <v>10</v>
      </c>
      <c r="E14" s="6" t="s">
        <v>16</v>
      </c>
      <c r="F14" s="6">
        <v>3</v>
      </c>
      <c r="G14" s="7">
        <v>79.900000000000006</v>
      </c>
      <c r="H14" s="7">
        <f t="shared" si="0"/>
        <v>239.70000000000002</v>
      </c>
      <c r="I14" s="6" t="s">
        <v>20</v>
      </c>
    </row>
    <row r="15" spans="2:20" x14ac:dyDescent="0.3">
      <c r="B15" s="5">
        <v>45852</v>
      </c>
      <c r="C15" s="5" t="str">
        <f t="shared" si="1"/>
        <v>julho</v>
      </c>
      <c r="D15" s="6" t="s">
        <v>6</v>
      </c>
      <c r="E15" s="6" t="s">
        <v>17</v>
      </c>
      <c r="F15" s="6">
        <v>1</v>
      </c>
      <c r="G15" s="7">
        <v>1699</v>
      </c>
      <c r="H15" s="7">
        <f t="shared" si="0"/>
        <v>1699</v>
      </c>
      <c r="I15" s="6" t="s">
        <v>19</v>
      </c>
    </row>
    <row r="16" spans="2:20" x14ac:dyDescent="0.3">
      <c r="B16" s="5">
        <v>45853</v>
      </c>
      <c r="C16" s="5" t="str">
        <f t="shared" si="1"/>
        <v>julho</v>
      </c>
      <c r="D16" s="6" t="s">
        <v>13</v>
      </c>
      <c r="E16" s="6" t="s">
        <v>16</v>
      </c>
      <c r="F16" s="6">
        <v>3</v>
      </c>
      <c r="G16" s="7">
        <v>297.5</v>
      </c>
      <c r="H16" s="7">
        <f t="shared" si="0"/>
        <v>892.5</v>
      </c>
      <c r="I16" s="6" t="s">
        <v>19</v>
      </c>
    </row>
    <row r="17" spans="2:9" x14ac:dyDescent="0.3">
      <c r="B17" s="5">
        <v>45853</v>
      </c>
      <c r="C17" s="5" t="str">
        <f t="shared" si="1"/>
        <v>julho</v>
      </c>
      <c r="D17" s="6" t="s">
        <v>6</v>
      </c>
      <c r="E17" s="6" t="s">
        <v>17</v>
      </c>
      <c r="F17" s="6">
        <v>2</v>
      </c>
      <c r="G17" s="7">
        <v>1699</v>
      </c>
      <c r="H17" s="7">
        <f t="shared" si="0"/>
        <v>3398</v>
      </c>
      <c r="I17" s="6" t="s">
        <v>20</v>
      </c>
    </row>
    <row r="18" spans="2:9" x14ac:dyDescent="0.3">
      <c r="B18" s="5">
        <v>45854</v>
      </c>
      <c r="C18" s="5" t="str">
        <f t="shared" si="1"/>
        <v>julho</v>
      </c>
      <c r="D18" s="6" t="s">
        <v>8</v>
      </c>
      <c r="E18" s="6" t="s">
        <v>17</v>
      </c>
      <c r="F18" s="6">
        <v>1</v>
      </c>
      <c r="G18" s="7">
        <v>378.8</v>
      </c>
      <c r="H18" s="7">
        <f t="shared" si="0"/>
        <v>378.8</v>
      </c>
      <c r="I18" s="6" t="s">
        <v>19</v>
      </c>
    </row>
    <row r="19" spans="2:9" x14ac:dyDescent="0.3">
      <c r="B19" s="5">
        <v>45858</v>
      </c>
      <c r="C19" s="5" t="str">
        <f t="shared" si="1"/>
        <v>julho</v>
      </c>
      <c r="D19" s="6" t="s">
        <v>11</v>
      </c>
      <c r="E19" s="6" t="s">
        <v>16</v>
      </c>
      <c r="F19" s="6">
        <v>3</v>
      </c>
      <c r="G19" s="7">
        <v>54.99</v>
      </c>
      <c r="H19" s="7">
        <f t="shared" si="0"/>
        <v>164.97</v>
      </c>
      <c r="I19" s="6" t="s">
        <v>19</v>
      </c>
    </row>
    <row r="20" spans="2:9" x14ac:dyDescent="0.3">
      <c r="B20" s="5">
        <v>45858</v>
      </c>
      <c r="C20" s="5" t="str">
        <f t="shared" si="1"/>
        <v>julho</v>
      </c>
      <c r="D20" s="6" t="s">
        <v>9</v>
      </c>
      <c r="E20" s="6" t="s">
        <v>18</v>
      </c>
      <c r="F20" s="6">
        <v>1</v>
      </c>
      <c r="G20" s="7">
        <v>2289</v>
      </c>
      <c r="H20" s="7">
        <f t="shared" si="0"/>
        <v>2289</v>
      </c>
      <c r="I20" s="6" t="s">
        <v>20</v>
      </c>
    </row>
    <row r="21" spans="2:9" x14ac:dyDescent="0.3">
      <c r="B21" s="5">
        <v>45858</v>
      </c>
      <c r="C21" s="5" t="str">
        <f t="shared" si="1"/>
        <v>julho</v>
      </c>
      <c r="D21" s="6" t="s">
        <v>12</v>
      </c>
      <c r="E21" s="6" t="s">
        <v>16</v>
      </c>
      <c r="F21" s="6">
        <v>2</v>
      </c>
      <c r="G21" s="7">
        <v>107.3</v>
      </c>
      <c r="H21" s="7">
        <f t="shared" si="0"/>
        <v>214.6</v>
      </c>
      <c r="I21" s="6" t="s">
        <v>19</v>
      </c>
    </row>
    <row r="22" spans="2:9" x14ac:dyDescent="0.3">
      <c r="B22" s="5">
        <v>45859</v>
      </c>
      <c r="C22" s="5" t="str">
        <f t="shared" si="1"/>
        <v>julho</v>
      </c>
      <c r="D22" s="6" t="s">
        <v>7</v>
      </c>
      <c r="E22" s="6" t="s">
        <v>17</v>
      </c>
      <c r="F22" s="6">
        <v>3</v>
      </c>
      <c r="G22" s="7">
        <v>677.87</v>
      </c>
      <c r="H22" s="7">
        <f t="shared" si="0"/>
        <v>2033.6100000000001</v>
      </c>
      <c r="I22" s="6" t="s">
        <v>19</v>
      </c>
    </row>
    <row r="23" spans="2:9" x14ac:dyDescent="0.3">
      <c r="B23" s="5">
        <v>45861</v>
      </c>
      <c r="C23" s="5" t="str">
        <f t="shared" si="1"/>
        <v>julho</v>
      </c>
      <c r="D23" s="6" t="s">
        <v>6</v>
      </c>
      <c r="E23" s="6" t="s">
        <v>17</v>
      </c>
      <c r="F23" s="6">
        <v>1</v>
      </c>
      <c r="G23" s="7">
        <v>1699</v>
      </c>
      <c r="H23" s="7">
        <f t="shared" si="0"/>
        <v>1699</v>
      </c>
      <c r="I23" s="6" t="s">
        <v>19</v>
      </c>
    </row>
    <row r="24" spans="2:9" x14ac:dyDescent="0.3">
      <c r="B24" s="5">
        <v>45861</v>
      </c>
      <c r="C24" s="5" t="str">
        <f t="shared" si="1"/>
        <v>julho</v>
      </c>
      <c r="D24" s="6" t="s">
        <v>15</v>
      </c>
      <c r="E24" s="6" t="s">
        <v>18</v>
      </c>
      <c r="F24" s="6">
        <v>1</v>
      </c>
      <c r="G24" s="7">
        <v>1090.8</v>
      </c>
      <c r="H24" s="7">
        <f t="shared" si="0"/>
        <v>1090.8</v>
      </c>
      <c r="I24" s="6" t="s">
        <v>20</v>
      </c>
    </row>
    <row r="25" spans="2:9" x14ac:dyDescent="0.3">
      <c r="B25" s="5">
        <v>45864</v>
      </c>
      <c r="C25" s="5" t="str">
        <f t="shared" si="1"/>
        <v>julho</v>
      </c>
      <c r="D25" s="6" t="s">
        <v>6</v>
      </c>
      <c r="E25" s="6" t="s">
        <v>17</v>
      </c>
      <c r="F25" s="6">
        <v>1</v>
      </c>
      <c r="G25" s="7">
        <v>1699</v>
      </c>
      <c r="H25" s="7">
        <f t="shared" si="0"/>
        <v>1699</v>
      </c>
      <c r="I25" s="6" t="s">
        <v>20</v>
      </c>
    </row>
    <row r="26" spans="2:9" x14ac:dyDescent="0.3">
      <c r="B26" s="5">
        <v>45866</v>
      </c>
      <c r="C26" s="5" t="str">
        <f t="shared" si="1"/>
        <v>julho</v>
      </c>
      <c r="D26" s="6" t="s">
        <v>13</v>
      </c>
      <c r="E26" s="6" t="s">
        <v>16</v>
      </c>
      <c r="F26" s="6">
        <v>2</v>
      </c>
      <c r="G26" s="7">
        <v>297.5</v>
      </c>
      <c r="H26" s="7">
        <f t="shared" si="0"/>
        <v>595</v>
      </c>
      <c r="I26" s="6" t="s">
        <v>20</v>
      </c>
    </row>
    <row r="27" spans="2:9" x14ac:dyDescent="0.3">
      <c r="B27" s="5">
        <v>45867</v>
      </c>
      <c r="C27" s="5" t="str">
        <f t="shared" si="1"/>
        <v>julho</v>
      </c>
      <c r="D27" s="6" t="s">
        <v>9</v>
      </c>
      <c r="E27" s="6" t="s">
        <v>18</v>
      </c>
      <c r="F27" s="6">
        <v>1</v>
      </c>
      <c r="G27" s="7">
        <v>2289</v>
      </c>
      <c r="H27" s="7">
        <f t="shared" si="0"/>
        <v>2289</v>
      </c>
      <c r="I27" s="6" t="s">
        <v>19</v>
      </c>
    </row>
    <row r="28" spans="2:9" x14ac:dyDescent="0.3">
      <c r="B28" s="5">
        <v>45867</v>
      </c>
      <c r="C28" s="5" t="str">
        <f t="shared" si="1"/>
        <v>julho</v>
      </c>
      <c r="D28" s="6" t="s">
        <v>9</v>
      </c>
      <c r="E28" s="6" t="s">
        <v>18</v>
      </c>
      <c r="F28" s="6">
        <v>1</v>
      </c>
      <c r="G28" s="7">
        <v>2289</v>
      </c>
      <c r="H28" s="7">
        <f t="shared" si="0"/>
        <v>2289</v>
      </c>
      <c r="I28" s="6" t="s">
        <v>20</v>
      </c>
    </row>
    <row r="29" spans="2:9" x14ac:dyDescent="0.3">
      <c r="B29" s="5">
        <v>45868</v>
      </c>
      <c r="C29" s="5" t="str">
        <f t="shared" si="1"/>
        <v>julho</v>
      </c>
      <c r="D29" s="6" t="s">
        <v>6</v>
      </c>
      <c r="E29" s="6" t="s">
        <v>17</v>
      </c>
      <c r="F29" s="6">
        <v>1</v>
      </c>
      <c r="G29" s="7">
        <v>1699</v>
      </c>
      <c r="H29" s="7">
        <f t="shared" si="0"/>
        <v>1699</v>
      </c>
      <c r="I29" s="6" t="s">
        <v>20</v>
      </c>
    </row>
    <row r="30" spans="2:9" x14ac:dyDescent="0.3">
      <c r="B30" s="5">
        <v>45869</v>
      </c>
      <c r="C30" s="5" t="str">
        <f t="shared" si="1"/>
        <v>julho</v>
      </c>
      <c r="D30" s="6" t="s">
        <v>7</v>
      </c>
      <c r="E30" s="6" t="s">
        <v>17</v>
      </c>
      <c r="F30" s="6">
        <v>2</v>
      </c>
      <c r="G30" s="7">
        <v>677.87</v>
      </c>
      <c r="H30" s="7">
        <f t="shared" si="0"/>
        <v>1355.74</v>
      </c>
      <c r="I30" s="6" t="s">
        <v>20</v>
      </c>
    </row>
    <row r="31" spans="2:9" x14ac:dyDescent="0.3">
      <c r="B31" s="5">
        <v>45869</v>
      </c>
      <c r="C31" s="5" t="str">
        <f t="shared" si="1"/>
        <v>julho</v>
      </c>
      <c r="D31" s="6" t="s">
        <v>7</v>
      </c>
      <c r="E31" s="6" t="s">
        <v>17</v>
      </c>
      <c r="F31" s="6">
        <v>2</v>
      </c>
      <c r="G31" s="7">
        <v>677.87</v>
      </c>
      <c r="H31" s="7">
        <f t="shared" si="0"/>
        <v>1355.74</v>
      </c>
      <c r="I31" s="6" t="s">
        <v>19</v>
      </c>
    </row>
    <row r="32" spans="2:9" x14ac:dyDescent="0.3">
      <c r="B32" s="5">
        <v>45869</v>
      </c>
      <c r="C32" s="5" t="str">
        <f t="shared" si="1"/>
        <v>julho</v>
      </c>
      <c r="D32" s="6" t="s">
        <v>6</v>
      </c>
      <c r="E32" s="6" t="s">
        <v>17</v>
      </c>
      <c r="F32" s="6">
        <v>1</v>
      </c>
      <c r="G32" s="7">
        <v>1699</v>
      </c>
      <c r="H32" s="7">
        <f t="shared" si="0"/>
        <v>1699</v>
      </c>
      <c r="I32" s="6" t="s">
        <v>20</v>
      </c>
    </row>
    <row r="33" spans="2:9" x14ac:dyDescent="0.3">
      <c r="B33" s="5">
        <v>45870</v>
      </c>
      <c r="C33" s="5" t="str">
        <f t="shared" si="1"/>
        <v>agosto</v>
      </c>
      <c r="D33" s="6" t="s">
        <v>10</v>
      </c>
      <c r="E33" s="6" t="s">
        <v>16</v>
      </c>
      <c r="F33" s="6">
        <v>1</v>
      </c>
      <c r="G33" s="7">
        <v>79.900000000000006</v>
      </c>
      <c r="H33" s="7">
        <f t="shared" si="0"/>
        <v>79.900000000000006</v>
      </c>
      <c r="I33" s="6" t="s">
        <v>20</v>
      </c>
    </row>
    <row r="34" spans="2:9" x14ac:dyDescent="0.3">
      <c r="B34" s="5">
        <v>45876</v>
      </c>
      <c r="C34" s="5" t="str">
        <f t="shared" si="1"/>
        <v>agosto</v>
      </c>
      <c r="D34" s="6" t="s">
        <v>8</v>
      </c>
      <c r="E34" s="6" t="s">
        <v>17</v>
      </c>
      <c r="F34" s="6">
        <v>1</v>
      </c>
      <c r="G34" s="7">
        <v>378.8</v>
      </c>
      <c r="H34" s="7">
        <f t="shared" si="0"/>
        <v>378.8</v>
      </c>
      <c r="I34" s="6" t="s">
        <v>19</v>
      </c>
    </row>
    <row r="35" spans="2:9" x14ac:dyDescent="0.3">
      <c r="B35" s="5">
        <v>45876</v>
      </c>
      <c r="C35" s="5" t="str">
        <f t="shared" si="1"/>
        <v>agosto</v>
      </c>
      <c r="D35" s="6" t="s">
        <v>13</v>
      </c>
      <c r="E35" s="6" t="s">
        <v>16</v>
      </c>
      <c r="F35" s="6">
        <v>2</v>
      </c>
      <c r="G35" s="7">
        <v>297.5</v>
      </c>
      <c r="H35" s="7">
        <f t="shared" si="0"/>
        <v>595</v>
      </c>
      <c r="I35" s="6" t="s">
        <v>19</v>
      </c>
    </row>
    <row r="36" spans="2:9" x14ac:dyDescent="0.3">
      <c r="B36" s="5">
        <v>45879</v>
      </c>
      <c r="C36" s="5" t="str">
        <f t="shared" si="1"/>
        <v>agosto</v>
      </c>
      <c r="D36" s="6" t="s">
        <v>8</v>
      </c>
      <c r="E36" s="6" t="s">
        <v>17</v>
      </c>
      <c r="F36" s="6">
        <v>1</v>
      </c>
      <c r="G36" s="7">
        <v>378.8</v>
      </c>
      <c r="H36" s="7">
        <f t="shared" si="0"/>
        <v>378.8</v>
      </c>
      <c r="I36" s="6" t="s">
        <v>19</v>
      </c>
    </row>
    <row r="37" spans="2:9" x14ac:dyDescent="0.3">
      <c r="B37" s="5">
        <v>45879</v>
      </c>
      <c r="C37" s="5" t="str">
        <f t="shared" si="1"/>
        <v>agosto</v>
      </c>
      <c r="D37" s="6" t="s">
        <v>8</v>
      </c>
      <c r="E37" s="6" t="s">
        <v>17</v>
      </c>
      <c r="F37" s="6">
        <v>2</v>
      </c>
      <c r="G37" s="7">
        <v>378.8</v>
      </c>
      <c r="H37" s="7">
        <f t="shared" si="0"/>
        <v>757.6</v>
      </c>
      <c r="I37" s="6" t="s">
        <v>19</v>
      </c>
    </row>
    <row r="38" spans="2:9" x14ac:dyDescent="0.3">
      <c r="B38" s="5">
        <v>45881</v>
      </c>
      <c r="C38" s="5" t="str">
        <f t="shared" si="1"/>
        <v>agosto</v>
      </c>
      <c r="D38" s="6" t="s">
        <v>12</v>
      </c>
      <c r="E38" s="6" t="s">
        <v>16</v>
      </c>
      <c r="F38" s="6">
        <v>2</v>
      </c>
      <c r="G38" s="7">
        <v>107.3</v>
      </c>
      <c r="H38" s="7">
        <f t="shared" si="0"/>
        <v>214.6</v>
      </c>
      <c r="I38" s="6" t="s">
        <v>20</v>
      </c>
    </row>
    <row r="39" spans="2:9" x14ac:dyDescent="0.3">
      <c r="B39" s="5">
        <v>45883</v>
      </c>
      <c r="C39" s="5" t="str">
        <f t="shared" si="1"/>
        <v>agosto</v>
      </c>
      <c r="D39" s="6" t="s">
        <v>12</v>
      </c>
      <c r="E39" s="6" t="s">
        <v>16</v>
      </c>
      <c r="F39" s="6">
        <v>1</v>
      </c>
      <c r="G39" s="7">
        <v>107.3</v>
      </c>
      <c r="H39" s="7">
        <f t="shared" si="0"/>
        <v>107.3</v>
      </c>
      <c r="I39" s="6" t="s">
        <v>19</v>
      </c>
    </row>
    <row r="40" spans="2:9" x14ac:dyDescent="0.3">
      <c r="B40" s="5">
        <v>45884</v>
      </c>
      <c r="C40" s="5" t="str">
        <f t="shared" si="1"/>
        <v>agosto</v>
      </c>
      <c r="D40" s="6" t="s">
        <v>10</v>
      </c>
      <c r="E40" s="6" t="s">
        <v>16</v>
      </c>
      <c r="F40" s="6">
        <v>2</v>
      </c>
      <c r="G40" s="7">
        <v>79.900000000000006</v>
      </c>
      <c r="H40" s="7">
        <f t="shared" si="0"/>
        <v>159.80000000000001</v>
      </c>
      <c r="I40" s="6" t="s">
        <v>20</v>
      </c>
    </row>
    <row r="41" spans="2:9" x14ac:dyDescent="0.3">
      <c r="B41" s="5">
        <v>45890</v>
      </c>
      <c r="C41" s="5" t="str">
        <f t="shared" si="1"/>
        <v>agosto</v>
      </c>
      <c r="D41" s="6" t="s">
        <v>12</v>
      </c>
      <c r="E41" s="6" t="s">
        <v>16</v>
      </c>
      <c r="F41" s="6">
        <v>3</v>
      </c>
      <c r="G41" s="7">
        <v>107.3</v>
      </c>
      <c r="H41" s="7">
        <f t="shared" si="0"/>
        <v>321.89999999999998</v>
      </c>
      <c r="I41" s="6" t="s">
        <v>19</v>
      </c>
    </row>
    <row r="42" spans="2:9" x14ac:dyDescent="0.3">
      <c r="B42" s="5">
        <v>45891</v>
      </c>
      <c r="C42" s="5" t="str">
        <f t="shared" si="1"/>
        <v>agosto</v>
      </c>
      <c r="D42" s="6" t="s">
        <v>9</v>
      </c>
      <c r="E42" s="6" t="s">
        <v>18</v>
      </c>
      <c r="F42" s="6">
        <v>1</v>
      </c>
      <c r="G42" s="7">
        <v>2289</v>
      </c>
      <c r="H42" s="7">
        <f t="shared" si="0"/>
        <v>2289</v>
      </c>
      <c r="I42" s="6" t="s">
        <v>20</v>
      </c>
    </row>
    <row r="43" spans="2:9" x14ac:dyDescent="0.3">
      <c r="B43" s="5">
        <v>45895</v>
      </c>
      <c r="C43" s="5" t="str">
        <f t="shared" si="1"/>
        <v>agosto</v>
      </c>
      <c r="D43" s="6" t="s">
        <v>8</v>
      </c>
      <c r="E43" s="6" t="s">
        <v>17</v>
      </c>
      <c r="F43" s="6">
        <v>2</v>
      </c>
      <c r="G43" s="7">
        <v>378.8</v>
      </c>
      <c r="H43" s="7">
        <f t="shared" si="0"/>
        <v>757.6</v>
      </c>
      <c r="I43" s="6" t="s">
        <v>19</v>
      </c>
    </row>
    <row r="44" spans="2:9" x14ac:dyDescent="0.3">
      <c r="B44" s="5">
        <v>45897</v>
      </c>
      <c r="C44" s="5" t="str">
        <f t="shared" si="1"/>
        <v>agosto</v>
      </c>
      <c r="D44" s="6" t="s">
        <v>6</v>
      </c>
      <c r="E44" s="6" t="s">
        <v>17</v>
      </c>
      <c r="F44" s="6">
        <v>1</v>
      </c>
      <c r="G44" s="7">
        <v>1699</v>
      </c>
      <c r="H44" s="7">
        <f t="shared" si="0"/>
        <v>1699</v>
      </c>
      <c r="I44" s="6" t="s">
        <v>19</v>
      </c>
    </row>
    <row r="45" spans="2:9" x14ac:dyDescent="0.3">
      <c r="B45" s="5">
        <v>45901</v>
      </c>
      <c r="C45" s="5" t="str">
        <f t="shared" si="1"/>
        <v>setembro</v>
      </c>
      <c r="D45" s="6" t="s">
        <v>10</v>
      </c>
      <c r="E45" s="6" t="s">
        <v>16</v>
      </c>
      <c r="F45" s="6">
        <v>3</v>
      </c>
      <c r="G45" s="7">
        <v>79.900000000000006</v>
      </c>
      <c r="H45" s="7">
        <f t="shared" si="0"/>
        <v>239.70000000000002</v>
      </c>
      <c r="I45" s="6" t="s">
        <v>20</v>
      </c>
    </row>
    <row r="46" spans="2:9" x14ac:dyDescent="0.3">
      <c r="B46" s="5">
        <v>45904</v>
      </c>
      <c r="C46" s="5" t="str">
        <f t="shared" si="1"/>
        <v>setembro</v>
      </c>
      <c r="D46" s="6" t="s">
        <v>13</v>
      </c>
      <c r="E46" s="6" t="s">
        <v>16</v>
      </c>
      <c r="F46" s="6">
        <v>2</v>
      </c>
      <c r="G46" s="7">
        <v>297.5</v>
      </c>
      <c r="H46" s="7">
        <f t="shared" si="0"/>
        <v>595</v>
      </c>
      <c r="I46" s="6" t="s">
        <v>19</v>
      </c>
    </row>
    <row r="47" spans="2:9" x14ac:dyDescent="0.3">
      <c r="B47" s="5">
        <v>45905</v>
      </c>
      <c r="C47" s="5" t="str">
        <f t="shared" si="1"/>
        <v>setembro</v>
      </c>
      <c r="D47" s="6" t="s">
        <v>9</v>
      </c>
      <c r="E47" s="6" t="s">
        <v>18</v>
      </c>
      <c r="F47" s="6">
        <v>2</v>
      </c>
      <c r="G47" s="7">
        <v>2289</v>
      </c>
      <c r="H47" s="7">
        <f t="shared" si="0"/>
        <v>4578</v>
      </c>
      <c r="I47" s="6" t="s">
        <v>19</v>
      </c>
    </row>
    <row r="48" spans="2:9" x14ac:dyDescent="0.3">
      <c r="B48" s="5">
        <v>45910</v>
      </c>
      <c r="C48" s="5" t="str">
        <f t="shared" si="1"/>
        <v>setembro</v>
      </c>
      <c r="D48" s="6" t="s">
        <v>10</v>
      </c>
      <c r="E48" s="6" t="s">
        <v>16</v>
      </c>
      <c r="F48" s="6">
        <v>1</v>
      </c>
      <c r="G48" s="7">
        <v>79.900000000000006</v>
      </c>
      <c r="H48" s="7">
        <f t="shared" si="0"/>
        <v>79.900000000000006</v>
      </c>
      <c r="I48" s="6" t="s">
        <v>19</v>
      </c>
    </row>
    <row r="49" spans="2:9" x14ac:dyDescent="0.3">
      <c r="B49" s="5">
        <v>45913</v>
      </c>
      <c r="C49" s="5" t="str">
        <f t="shared" si="1"/>
        <v>setembro</v>
      </c>
      <c r="D49" s="6" t="s">
        <v>13</v>
      </c>
      <c r="E49" s="6" t="s">
        <v>16</v>
      </c>
      <c r="F49" s="6">
        <v>1</v>
      </c>
      <c r="G49" s="7">
        <v>297.5</v>
      </c>
      <c r="H49" s="7">
        <f t="shared" si="0"/>
        <v>297.5</v>
      </c>
      <c r="I49" s="6" t="s">
        <v>19</v>
      </c>
    </row>
    <row r="50" spans="2:9" x14ac:dyDescent="0.3">
      <c r="B50" s="5">
        <v>45913</v>
      </c>
      <c r="C50" s="5" t="str">
        <f t="shared" si="1"/>
        <v>setembro</v>
      </c>
      <c r="D50" s="6" t="s">
        <v>6</v>
      </c>
      <c r="E50" s="6" t="s">
        <v>17</v>
      </c>
      <c r="F50" s="6">
        <v>1</v>
      </c>
      <c r="G50" s="7">
        <v>1699</v>
      </c>
      <c r="H50" s="7">
        <f t="shared" si="0"/>
        <v>1699</v>
      </c>
      <c r="I50" s="6" t="s">
        <v>20</v>
      </c>
    </row>
    <row r="51" spans="2:9" x14ac:dyDescent="0.3">
      <c r="B51" s="5">
        <v>45916</v>
      </c>
      <c r="C51" s="5" t="str">
        <f t="shared" si="1"/>
        <v>setembro</v>
      </c>
      <c r="D51" s="6" t="s">
        <v>9</v>
      </c>
      <c r="E51" s="6" t="s">
        <v>18</v>
      </c>
      <c r="F51" s="6">
        <v>2</v>
      </c>
      <c r="G51" s="7">
        <v>2289</v>
      </c>
      <c r="H51" s="7">
        <f t="shared" si="0"/>
        <v>4578</v>
      </c>
      <c r="I51" s="6" t="s">
        <v>19</v>
      </c>
    </row>
    <row r="52" spans="2:9" x14ac:dyDescent="0.3">
      <c r="B52" s="5">
        <v>45918</v>
      </c>
      <c r="C52" s="5" t="str">
        <f t="shared" si="1"/>
        <v>setembro</v>
      </c>
      <c r="D52" s="6" t="s">
        <v>8</v>
      </c>
      <c r="E52" s="6" t="s">
        <v>17</v>
      </c>
      <c r="F52" s="6">
        <v>1</v>
      </c>
      <c r="G52" s="7">
        <v>378.8</v>
      </c>
      <c r="H52" s="7">
        <f t="shared" si="0"/>
        <v>378.8</v>
      </c>
      <c r="I52" s="6" t="s">
        <v>20</v>
      </c>
    </row>
    <row r="53" spans="2:9" x14ac:dyDescent="0.3">
      <c r="B53" s="5">
        <v>45918</v>
      </c>
      <c r="C53" s="5" t="str">
        <f t="shared" si="1"/>
        <v>setembro</v>
      </c>
      <c r="D53" s="6" t="s">
        <v>12</v>
      </c>
      <c r="E53" s="6" t="s">
        <v>16</v>
      </c>
      <c r="F53" s="6">
        <v>1</v>
      </c>
      <c r="G53" s="7">
        <v>107.3</v>
      </c>
      <c r="H53" s="7">
        <f t="shared" si="0"/>
        <v>107.3</v>
      </c>
      <c r="I53" s="6" t="s">
        <v>19</v>
      </c>
    </row>
    <row r="54" spans="2:9" x14ac:dyDescent="0.3">
      <c r="B54" s="5">
        <v>45923</v>
      </c>
      <c r="C54" s="5" t="str">
        <f t="shared" si="1"/>
        <v>setembro</v>
      </c>
      <c r="D54" s="6" t="s">
        <v>10</v>
      </c>
      <c r="E54" s="6" t="s">
        <v>16</v>
      </c>
      <c r="F54" s="6">
        <v>1</v>
      </c>
      <c r="G54" s="7">
        <v>79.900000000000006</v>
      </c>
      <c r="H54" s="7">
        <f t="shared" si="0"/>
        <v>79.900000000000006</v>
      </c>
      <c r="I54" s="6" t="s">
        <v>19</v>
      </c>
    </row>
    <row r="55" spans="2:9" x14ac:dyDescent="0.3">
      <c r="B55" s="5">
        <v>45925</v>
      </c>
      <c r="C55" s="5" t="str">
        <f t="shared" si="1"/>
        <v>setembro</v>
      </c>
      <c r="D55" s="6" t="s">
        <v>8</v>
      </c>
      <c r="E55" s="6" t="s">
        <v>17</v>
      </c>
      <c r="F55" s="6">
        <v>1</v>
      </c>
      <c r="G55" s="7">
        <v>378.8</v>
      </c>
      <c r="H55" s="7">
        <f t="shared" si="0"/>
        <v>378.8</v>
      </c>
      <c r="I55" s="6" t="s">
        <v>19</v>
      </c>
    </row>
    <row r="56" spans="2:9" x14ac:dyDescent="0.3">
      <c r="B56" s="5">
        <v>45925</v>
      </c>
      <c r="C56" s="5" t="str">
        <f t="shared" si="1"/>
        <v>setembro</v>
      </c>
      <c r="D56" s="6" t="s">
        <v>10</v>
      </c>
      <c r="E56" s="6" t="s">
        <v>16</v>
      </c>
      <c r="F56" s="6">
        <v>3</v>
      </c>
      <c r="G56" s="7">
        <v>79.900000000000006</v>
      </c>
      <c r="H56" s="7">
        <f t="shared" si="0"/>
        <v>239.70000000000002</v>
      </c>
      <c r="I56" s="6" t="s">
        <v>19</v>
      </c>
    </row>
    <row r="57" spans="2:9" x14ac:dyDescent="0.3">
      <c r="B57" s="5">
        <v>45926</v>
      </c>
      <c r="C57" s="5" t="str">
        <f t="shared" si="1"/>
        <v>setembro</v>
      </c>
      <c r="D57" s="6" t="s">
        <v>8</v>
      </c>
      <c r="E57" s="6" t="s">
        <v>17</v>
      </c>
      <c r="F57" s="6">
        <v>1</v>
      </c>
      <c r="G57" s="7">
        <v>378.8</v>
      </c>
      <c r="H57" s="7">
        <f t="shared" si="0"/>
        <v>378.8</v>
      </c>
      <c r="I57" s="6" t="s">
        <v>19</v>
      </c>
    </row>
    <row r="58" spans="2:9" x14ac:dyDescent="0.3">
      <c r="B58" s="5">
        <v>45928</v>
      </c>
      <c r="C58" s="5" t="str">
        <f t="shared" si="1"/>
        <v>setembro</v>
      </c>
      <c r="D58" s="6" t="s">
        <v>6</v>
      </c>
      <c r="E58" s="6" t="s">
        <v>17</v>
      </c>
      <c r="F58" s="6">
        <v>1</v>
      </c>
      <c r="G58" s="7">
        <v>1699</v>
      </c>
      <c r="H58" s="7">
        <f t="shared" si="0"/>
        <v>1699</v>
      </c>
      <c r="I58" s="6" t="s">
        <v>19</v>
      </c>
    </row>
    <row r="59" spans="2:9" x14ac:dyDescent="0.3">
      <c r="B59" s="5">
        <v>45932</v>
      </c>
      <c r="C59" s="5" t="str">
        <f t="shared" si="1"/>
        <v>outubro</v>
      </c>
      <c r="D59" s="6" t="s">
        <v>8</v>
      </c>
      <c r="E59" s="6" t="s">
        <v>17</v>
      </c>
      <c r="F59" s="6">
        <v>1</v>
      </c>
      <c r="G59" s="7">
        <v>378.8</v>
      </c>
      <c r="H59" s="7">
        <f t="shared" si="0"/>
        <v>378.8</v>
      </c>
      <c r="I59" s="6" t="s">
        <v>20</v>
      </c>
    </row>
    <row r="60" spans="2:9" x14ac:dyDescent="0.3">
      <c r="B60" s="5">
        <v>45933</v>
      </c>
      <c r="C60" s="5" t="str">
        <f t="shared" si="1"/>
        <v>outubro</v>
      </c>
      <c r="D60" s="6" t="s">
        <v>6</v>
      </c>
      <c r="E60" s="6" t="s">
        <v>17</v>
      </c>
      <c r="F60" s="6">
        <v>1</v>
      </c>
      <c r="G60" s="7">
        <v>1699</v>
      </c>
      <c r="H60" s="7">
        <f t="shared" si="0"/>
        <v>1699</v>
      </c>
      <c r="I60" s="6" t="s">
        <v>20</v>
      </c>
    </row>
    <row r="61" spans="2:9" x14ac:dyDescent="0.3">
      <c r="B61" s="5">
        <v>45935</v>
      </c>
      <c r="C61" s="5" t="str">
        <f t="shared" si="1"/>
        <v>outubro</v>
      </c>
      <c r="D61" s="6" t="s">
        <v>13</v>
      </c>
      <c r="E61" s="6" t="s">
        <v>16</v>
      </c>
      <c r="F61" s="6">
        <v>1</v>
      </c>
      <c r="G61" s="7">
        <v>297.5</v>
      </c>
      <c r="H61" s="7">
        <f t="shared" si="0"/>
        <v>297.5</v>
      </c>
      <c r="I61" s="6" t="s">
        <v>20</v>
      </c>
    </row>
    <row r="62" spans="2:9" x14ac:dyDescent="0.3">
      <c r="B62" s="5">
        <v>45939</v>
      </c>
      <c r="C62" s="5" t="str">
        <f t="shared" si="1"/>
        <v>outubro</v>
      </c>
      <c r="D62" s="6" t="s">
        <v>11</v>
      </c>
      <c r="E62" s="6" t="s">
        <v>16</v>
      </c>
      <c r="F62" s="6">
        <v>1</v>
      </c>
      <c r="G62" s="7">
        <v>54.99</v>
      </c>
      <c r="H62" s="7">
        <f t="shared" si="0"/>
        <v>54.99</v>
      </c>
      <c r="I62" s="6" t="s">
        <v>19</v>
      </c>
    </row>
    <row r="63" spans="2:9" x14ac:dyDescent="0.3">
      <c r="B63" s="5">
        <v>45939</v>
      </c>
      <c r="C63" s="5" t="str">
        <f t="shared" si="1"/>
        <v>outubro</v>
      </c>
      <c r="D63" s="6" t="s">
        <v>13</v>
      </c>
      <c r="E63" s="6" t="s">
        <v>16</v>
      </c>
      <c r="F63" s="6">
        <v>3</v>
      </c>
      <c r="G63" s="7">
        <v>297.5</v>
      </c>
      <c r="H63" s="7">
        <f t="shared" si="0"/>
        <v>892.5</v>
      </c>
      <c r="I63" s="6" t="s">
        <v>19</v>
      </c>
    </row>
    <row r="64" spans="2:9" x14ac:dyDescent="0.3">
      <c r="B64" s="5">
        <v>45940</v>
      </c>
      <c r="C64" s="5" t="str">
        <f t="shared" si="1"/>
        <v>outubro</v>
      </c>
      <c r="D64" s="6" t="s">
        <v>7</v>
      </c>
      <c r="E64" s="6" t="s">
        <v>17</v>
      </c>
      <c r="F64" s="6">
        <v>1</v>
      </c>
      <c r="G64" s="7">
        <v>677.87</v>
      </c>
      <c r="H64" s="7">
        <f t="shared" si="0"/>
        <v>677.87</v>
      </c>
      <c r="I64" s="6" t="s">
        <v>20</v>
      </c>
    </row>
    <row r="65" spans="2:9" x14ac:dyDescent="0.3">
      <c r="B65" s="5">
        <v>45940</v>
      </c>
      <c r="C65" s="5" t="str">
        <f t="shared" si="1"/>
        <v>outubro</v>
      </c>
      <c r="D65" s="6" t="s">
        <v>10</v>
      </c>
      <c r="E65" s="6" t="s">
        <v>16</v>
      </c>
      <c r="F65" s="6">
        <v>4</v>
      </c>
      <c r="G65" s="7">
        <v>79.900000000000006</v>
      </c>
      <c r="H65" s="7">
        <f t="shared" si="0"/>
        <v>319.60000000000002</v>
      </c>
      <c r="I65" s="6" t="s">
        <v>20</v>
      </c>
    </row>
    <row r="66" spans="2:9" x14ac:dyDescent="0.3">
      <c r="B66" s="5">
        <v>45941</v>
      </c>
      <c r="C66" s="5" t="str">
        <f t="shared" si="1"/>
        <v>outubro</v>
      </c>
      <c r="D66" s="6" t="s">
        <v>15</v>
      </c>
      <c r="E66" s="6" t="s">
        <v>18</v>
      </c>
      <c r="F66" s="6">
        <v>1</v>
      </c>
      <c r="G66" s="7">
        <v>1090.8</v>
      </c>
      <c r="H66" s="7">
        <f t="shared" si="0"/>
        <v>1090.8</v>
      </c>
      <c r="I66" s="6" t="s">
        <v>20</v>
      </c>
    </row>
    <row r="67" spans="2:9" x14ac:dyDescent="0.3">
      <c r="B67" s="5">
        <v>45942</v>
      </c>
      <c r="C67" s="5" t="str">
        <f t="shared" si="1"/>
        <v>outubro</v>
      </c>
      <c r="D67" s="6" t="s">
        <v>15</v>
      </c>
      <c r="E67" s="6" t="s">
        <v>18</v>
      </c>
      <c r="F67" s="6">
        <v>2</v>
      </c>
      <c r="G67" s="7">
        <v>1090.8</v>
      </c>
      <c r="H67" s="7">
        <f t="shared" ref="H67:H123" si="2">F67*G67</f>
        <v>2181.6</v>
      </c>
      <c r="I67" s="6" t="s">
        <v>20</v>
      </c>
    </row>
    <row r="68" spans="2:9" x14ac:dyDescent="0.3">
      <c r="B68" s="5">
        <v>45943</v>
      </c>
      <c r="C68" s="5" t="str">
        <f t="shared" ref="C68:C123" si="3">TEXT(B68,"Mmmm")</f>
        <v>outubro</v>
      </c>
      <c r="D68" s="6" t="s">
        <v>8</v>
      </c>
      <c r="E68" s="6" t="s">
        <v>17</v>
      </c>
      <c r="F68" s="6">
        <v>3</v>
      </c>
      <c r="G68" s="7">
        <v>378.8</v>
      </c>
      <c r="H68" s="7">
        <f t="shared" si="2"/>
        <v>1136.4000000000001</v>
      </c>
      <c r="I68" s="6" t="s">
        <v>19</v>
      </c>
    </row>
    <row r="69" spans="2:9" x14ac:dyDescent="0.3">
      <c r="B69" s="5">
        <v>45943</v>
      </c>
      <c r="C69" s="5" t="str">
        <f t="shared" si="3"/>
        <v>outubro</v>
      </c>
      <c r="D69" s="6" t="s">
        <v>10</v>
      </c>
      <c r="E69" s="6" t="s">
        <v>16</v>
      </c>
      <c r="F69" s="6">
        <v>4</v>
      </c>
      <c r="G69" s="7">
        <v>79.900000000000006</v>
      </c>
      <c r="H69" s="7">
        <f t="shared" si="2"/>
        <v>319.60000000000002</v>
      </c>
      <c r="I69" s="6" t="s">
        <v>19</v>
      </c>
    </row>
    <row r="70" spans="2:9" x14ac:dyDescent="0.3">
      <c r="B70" s="5">
        <v>45951</v>
      </c>
      <c r="C70" s="5" t="str">
        <f t="shared" si="3"/>
        <v>outubro</v>
      </c>
      <c r="D70" s="6" t="s">
        <v>12</v>
      </c>
      <c r="E70" s="6" t="s">
        <v>16</v>
      </c>
      <c r="F70" s="6">
        <v>1</v>
      </c>
      <c r="G70" s="7">
        <v>107.3</v>
      </c>
      <c r="H70" s="7">
        <f t="shared" si="2"/>
        <v>107.3</v>
      </c>
      <c r="I70" s="6" t="s">
        <v>20</v>
      </c>
    </row>
    <row r="71" spans="2:9" x14ac:dyDescent="0.3">
      <c r="B71" s="5">
        <v>45951</v>
      </c>
      <c r="C71" s="5" t="str">
        <f t="shared" si="3"/>
        <v>outubro</v>
      </c>
      <c r="D71" s="6" t="s">
        <v>13</v>
      </c>
      <c r="E71" s="6" t="s">
        <v>16</v>
      </c>
      <c r="F71" s="6">
        <v>1</v>
      </c>
      <c r="G71" s="7">
        <v>297.5</v>
      </c>
      <c r="H71" s="7">
        <f t="shared" si="2"/>
        <v>297.5</v>
      </c>
      <c r="I71" s="6" t="s">
        <v>19</v>
      </c>
    </row>
    <row r="72" spans="2:9" x14ac:dyDescent="0.3">
      <c r="B72" s="5">
        <v>45954</v>
      </c>
      <c r="C72" s="5" t="str">
        <f t="shared" si="3"/>
        <v>outubro</v>
      </c>
      <c r="D72" s="6" t="s">
        <v>11</v>
      </c>
      <c r="E72" s="6" t="s">
        <v>16</v>
      </c>
      <c r="F72" s="6">
        <v>1</v>
      </c>
      <c r="G72" s="7">
        <v>54.99</v>
      </c>
      <c r="H72" s="7">
        <f t="shared" si="2"/>
        <v>54.99</v>
      </c>
      <c r="I72" s="6" t="s">
        <v>19</v>
      </c>
    </row>
    <row r="73" spans="2:9" x14ac:dyDescent="0.3">
      <c r="B73" s="5">
        <v>45954</v>
      </c>
      <c r="C73" s="5" t="str">
        <f t="shared" si="3"/>
        <v>outubro</v>
      </c>
      <c r="D73" s="6" t="s">
        <v>12</v>
      </c>
      <c r="E73" s="6" t="s">
        <v>16</v>
      </c>
      <c r="F73" s="6">
        <v>1</v>
      </c>
      <c r="G73" s="7">
        <v>107.3</v>
      </c>
      <c r="H73" s="7">
        <f t="shared" si="2"/>
        <v>107.3</v>
      </c>
      <c r="I73" s="6" t="s">
        <v>19</v>
      </c>
    </row>
    <row r="74" spans="2:9" x14ac:dyDescent="0.3">
      <c r="B74" s="5">
        <v>45956</v>
      </c>
      <c r="C74" s="5" t="str">
        <f t="shared" si="3"/>
        <v>outubro</v>
      </c>
      <c r="D74" s="6" t="s">
        <v>9</v>
      </c>
      <c r="E74" s="6" t="s">
        <v>18</v>
      </c>
      <c r="F74" s="6">
        <v>1</v>
      </c>
      <c r="G74" s="7">
        <v>2289</v>
      </c>
      <c r="H74" s="7">
        <f t="shared" si="2"/>
        <v>2289</v>
      </c>
      <c r="I74" s="6" t="s">
        <v>20</v>
      </c>
    </row>
    <row r="75" spans="2:9" x14ac:dyDescent="0.3">
      <c r="B75" s="5">
        <v>45956</v>
      </c>
      <c r="C75" s="5" t="str">
        <f t="shared" si="3"/>
        <v>outubro</v>
      </c>
      <c r="D75" s="6" t="s">
        <v>12</v>
      </c>
      <c r="E75" s="6" t="s">
        <v>16</v>
      </c>
      <c r="F75" s="6">
        <v>3</v>
      </c>
      <c r="G75" s="7">
        <v>107.3</v>
      </c>
      <c r="H75" s="7">
        <f t="shared" si="2"/>
        <v>321.89999999999998</v>
      </c>
      <c r="I75" s="6" t="s">
        <v>19</v>
      </c>
    </row>
    <row r="76" spans="2:9" x14ac:dyDescent="0.3">
      <c r="B76" s="5">
        <v>45957</v>
      </c>
      <c r="C76" s="5" t="str">
        <f t="shared" si="3"/>
        <v>outubro</v>
      </c>
      <c r="D76" s="6" t="s">
        <v>7</v>
      </c>
      <c r="E76" s="6" t="s">
        <v>17</v>
      </c>
      <c r="F76" s="6">
        <v>1</v>
      </c>
      <c r="G76" s="7">
        <v>677.87</v>
      </c>
      <c r="H76" s="7">
        <f t="shared" si="2"/>
        <v>677.87</v>
      </c>
      <c r="I76" s="6" t="s">
        <v>20</v>
      </c>
    </row>
    <row r="77" spans="2:9" x14ac:dyDescent="0.3">
      <c r="B77" s="5">
        <v>45957</v>
      </c>
      <c r="C77" s="5" t="str">
        <f t="shared" si="3"/>
        <v>outubro</v>
      </c>
      <c r="D77" s="6" t="s">
        <v>12</v>
      </c>
      <c r="E77" s="6" t="s">
        <v>16</v>
      </c>
      <c r="F77" s="6">
        <v>1</v>
      </c>
      <c r="G77" s="7">
        <v>107.3</v>
      </c>
      <c r="H77" s="7">
        <f t="shared" si="2"/>
        <v>107.3</v>
      </c>
      <c r="I77" s="6" t="s">
        <v>19</v>
      </c>
    </row>
    <row r="78" spans="2:9" x14ac:dyDescent="0.3">
      <c r="B78" s="5">
        <v>45958</v>
      </c>
      <c r="C78" s="5" t="str">
        <f t="shared" si="3"/>
        <v>outubro</v>
      </c>
      <c r="D78" s="6" t="s">
        <v>13</v>
      </c>
      <c r="E78" s="6" t="s">
        <v>16</v>
      </c>
      <c r="F78" s="6">
        <v>1</v>
      </c>
      <c r="G78" s="7">
        <v>297.5</v>
      </c>
      <c r="H78" s="7">
        <f t="shared" si="2"/>
        <v>297.5</v>
      </c>
      <c r="I78" s="6" t="s">
        <v>20</v>
      </c>
    </row>
    <row r="79" spans="2:9" x14ac:dyDescent="0.3">
      <c r="B79" s="5">
        <v>45962</v>
      </c>
      <c r="C79" s="5" t="str">
        <f t="shared" si="3"/>
        <v>novembro</v>
      </c>
      <c r="D79" s="6" t="s">
        <v>10</v>
      </c>
      <c r="E79" s="6" t="s">
        <v>16</v>
      </c>
      <c r="F79" s="6">
        <v>2</v>
      </c>
      <c r="G79" s="7">
        <v>79.900000000000006</v>
      </c>
      <c r="H79" s="7">
        <f t="shared" si="2"/>
        <v>159.80000000000001</v>
      </c>
      <c r="I79" s="6" t="s">
        <v>20</v>
      </c>
    </row>
    <row r="80" spans="2:9" x14ac:dyDescent="0.3">
      <c r="B80" s="5">
        <v>45963</v>
      </c>
      <c r="C80" s="5" t="str">
        <f t="shared" si="3"/>
        <v>novembro</v>
      </c>
      <c r="D80" s="6" t="s">
        <v>7</v>
      </c>
      <c r="E80" s="6" t="s">
        <v>17</v>
      </c>
      <c r="F80" s="6">
        <v>1</v>
      </c>
      <c r="G80" s="7">
        <v>677.87</v>
      </c>
      <c r="H80" s="7">
        <f t="shared" si="2"/>
        <v>677.87</v>
      </c>
      <c r="I80" s="6" t="s">
        <v>20</v>
      </c>
    </row>
    <row r="81" spans="2:9" x14ac:dyDescent="0.3">
      <c r="B81" s="5">
        <v>45967</v>
      </c>
      <c r="C81" s="5" t="str">
        <f t="shared" si="3"/>
        <v>novembro</v>
      </c>
      <c r="D81" s="6" t="s">
        <v>13</v>
      </c>
      <c r="E81" s="6" t="s">
        <v>16</v>
      </c>
      <c r="F81" s="6">
        <v>2</v>
      </c>
      <c r="G81" s="7">
        <v>297.5</v>
      </c>
      <c r="H81" s="7">
        <f t="shared" si="2"/>
        <v>595</v>
      </c>
      <c r="I81" s="6" t="s">
        <v>19</v>
      </c>
    </row>
    <row r="82" spans="2:9" x14ac:dyDescent="0.3">
      <c r="B82" s="5">
        <v>45968</v>
      </c>
      <c r="C82" s="5" t="str">
        <f t="shared" si="3"/>
        <v>novembro</v>
      </c>
      <c r="D82" s="6" t="s">
        <v>6</v>
      </c>
      <c r="E82" s="6" t="s">
        <v>17</v>
      </c>
      <c r="F82" s="6">
        <v>1</v>
      </c>
      <c r="G82" s="7">
        <v>1699</v>
      </c>
      <c r="H82" s="7">
        <f t="shared" si="2"/>
        <v>1699</v>
      </c>
      <c r="I82" s="6" t="s">
        <v>20</v>
      </c>
    </row>
    <row r="83" spans="2:9" x14ac:dyDescent="0.3">
      <c r="B83" s="5">
        <v>45970</v>
      </c>
      <c r="C83" s="5" t="str">
        <f t="shared" si="3"/>
        <v>novembro</v>
      </c>
      <c r="D83" s="6" t="s">
        <v>14</v>
      </c>
      <c r="E83" s="6" t="s">
        <v>18</v>
      </c>
      <c r="F83" s="6">
        <v>1</v>
      </c>
      <c r="G83" s="7">
        <v>1749.22</v>
      </c>
      <c r="H83" s="7">
        <f t="shared" si="2"/>
        <v>1749.22</v>
      </c>
      <c r="I83" s="6" t="s">
        <v>19</v>
      </c>
    </row>
    <row r="84" spans="2:9" x14ac:dyDescent="0.3">
      <c r="B84" s="5">
        <v>45971</v>
      </c>
      <c r="C84" s="5" t="str">
        <f t="shared" si="3"/>
        <v>novembro</v>
      </c>
      <c r="D84" s="6" t="s">
        <v>9</v>
      </c>
      <c r="E84" s="6" t="s">
        <v>18</v>
      </c>
      <c r="F84" s="6">
        <v>1</v>
      </c>
      <c r="G84" s="7">
        <v>2289</v>
      </c>
      <c r="H84" s="7">
        <f t="shared" si="2"/>
        <v>2289</v>
      </c>
      <c r="I84" s="6" t="s">
        <v>20</v>
      </c>
    </row>
    <row r="85" spans="2:9" x14ac:dyDescent="0.3">
      <c r="B85" s="5">
        <v>45972</v>
      </c>
      <c r="C85" s="5" t="str">
        <f t="shared" si="3"/>
        <v>novembro</v>
      </c>
      <c r="D85" s="6" t="s">
        <v>6</v>
      </c>
      <c r="E85" s="6" t="s">
        <v>17</v>
      </c>
      <c r="F85" s="6">
        <v>2</v>
      </c>
      <c r="G85" s="7">
        <v>1699</v>
      </c>
      <c r="H85" s="7">
        <f t="shared" si="2"/>
        <v>3398</v>
      </c>
      <c r="I85" s="6" t="s">
        <v>19</v>
      </c>
    </row>
    <row r="86" spans="2:9" x14ac:dyDescent="0.3">
      <c r="B86" s="5">
        <v>45972</v>
      </c>
      <c r="C86" s="5" t="str">
        <f t="shared" si="3"/>
        <v>novembro</v>
      </c>
      <c r="D86" s="6" t="s">
        <v>12</v>
      </c>
      <c r="E86" s="6" t="s">
        <v>16</v>
      </c>
      <c r="F86" s="6">
        <v>1</v>
      </c>
      <c r="G86" s="7">
        <v>107.3</v>
      </c>
      <c r="H86" s="7">
        <f t="shared" si="2"/>
        <v>107.3</v>
      </c>
      <c r="I86" s="6" t="s">
        <v>19</v>
      </c>
    </row>
    <row r="87" spans="2:9" x14ac:dyDescent="0.3">
      <c r="B87" s="5">
        <v>45973</v>
      </c>
      <c r="C87" s="5" t="str">
        <f t="shared" si="3"/>
        <v>novembro</v>
      </c>
      <c r="D87" s="6" t="s">
        <v>14</v>
      </c>
      <c r="E87" s="6" t="s">
        <v>18</v>
      </c>
      <c r="F87" s="6">
        <v>2</v>
      </c>
      <c r="G87" s="7">
        <v>1749.22</v>
      </c>
      <c r="H87" s="7">
        <f t="shared" si="2"/>
        <v>3498.44</v>
      </c>
      <c r="I87" s="6" t="s">
        <v>19</v>
      </c>
    </row>
    <row r="88" spans="2:9" x14ac:dyDescent="0.3">
      <c r="B88" s="5">
        <v>45978</v>
      </c>
      <c r="C88" s="5" t="str">
        <f t="shared" si="3"/>
        <v>novembro</v>
      </c>
      <c r="D88" s="6" t="s">
        <v>13</v>
      </c>
      <c r="E88" s="6" t="s">
        <v>16</v>
      </c>
      <c r="F88" s="6">
        <v>1</v>
      </c>
      <c r="G88" s="7">
        <v>297.5</v>
      </c>
      <c r="H88" s="7">
        <f t="shared" si="2"/>
        <v>297.5</v>
      </c>
      <c r="I88" s="6" t="s">
        <v>20</v>
      </c>
    </row>
    <row r="89" spans="2:9" x14ac:dyDescent="0.3">
      <c r="B89" s="5">
        <v>45980</v>
      </c>
      <c r="C89" s="5" t="str">
        <f t="shared" si="3"/>
        <v>novembro</v>
      </c>
      <c r="D89" s="6" t="s">
        <v>14</v>
      </c>
      <c r="E89" s="6" t="s">
        <v>18</v>
      </c>
      <c r="F89" s="6">
        <v>1</v>
      </c>
      <c r="G89" s="7">
        <v>1749.22</v>
      </c>
      <c r="H89" s="7">
        <f t="shared" si="2"/>
        <v>1749.22</v>
      </c>
      <c r="I89" s="6" t="s">
        <v>20</v>
      </c>
    </row>
    <row r="90" spans="2:9" x14ac:dyDescent="0.3">
      <c r="B90" s="5">
        <v>45980</v>
      </c>
      <c r="C90" s="5" t="str">
        <f t="shared" si="3"/>
        <v>novembro</v>
      </c>
      <c r="D90" s="6" t="s">
        <v>13</v>
      </c>
      <c r="E90" s="6" t="s">
        <v>16</v>
      </c>
      <c r="F90" s="6">
        <v>2</v>
      </c>
      <c r="G90" s="7">
        <v>297.5</v>
      </c>
      <c r="H90" s="7">
        <f t="shared" si="2"/>
        <v>595</v>
      </c>
      <c r="I90" s="6" t="s">
        <v>19</v>
      </c>
    </row>
    <row r="91" spans="2:9" x14ac:dyDescent="0.3">
      <c r="B91" s="5">
        <v>45980</v>
      </c>
      <c r="C91" s="5" t="str">
        <f t="shared" si="3"/>
        <v>novembro</v>
      </c>
      <c r="D91" s="6" t="s">
        <v>13</v>
      </c>
      <c r="E91" s="6" t="s">
        <v>16</v>
      </c>
      <c r="F91" s="6">
        <v>1</v>
      </c>
      <c r="G91" s="7">
        <v>297.5</v>
      </c>
      <c r="H91" s="7">
        <f t="shared" si="2"/>
        <v>297.5</v>
      </c>
      <c r="I91" s="6" t="s">
        <v>19</v>
      </c>
    </row>
    <row r="92" spans="2:9" x14ac:dyDescent="0.3">
      <c r="B92" s="5">
        <v>45982</v>
      </c>
      <c r="C92" s="5" t="str">
        <f t="shared" si="3"/>
        <v>novembro</v>
      </c>
      <c r="D92" s="6" t="s">
        <v>13</v>
      </c>
      <c r="E92" s="6" t="s">
        <v>16</v>
      </c>
      <c r="F92" s="6">
        <v>1</v>
      </c>
      <c r="G92" s="7">
        <v>297.5</v>
      </c>
      <c r="H92" s="7">
        <f t="shared" si="2"/>
        <v>297.5</v>
      </c>
      <c r="I92" s="6" t="s">
        <v>20</v>
      </c>
    </row>
    <row r="93" spans="2:9" x14ac:dyDescent="0.3">
      <c r="B93" s="5">
        <v>45984</v>
      </c>
      <c r="C93" s="5" t="str">
        <f t="shared" si="3"/>
        <v>novembro</v>
      </c>
      <c r="D93" s="6" t="s">
        <v>7</v>
      </c>
      <c r="E93" s="6" t="s">
        <v>17</v>
      </c>
      <c r="F93" s="6">
        <v>1</v>
      </c>
      <c r="G93" s="7">
        <v>677.87</v>
      </c>
      <c r="H93" s="7">
        <f t="shared" si="2"/>
        <v>677.87</v>
      </c>
      <c r="I93" s="6" t="s">
        <v>19</v>
      </c>
    </row>
    <row r="94" spans="2:9" x14ac:dyDescent="0.3">
      <c r="B94" s="5">
        <v>45985</v>
      </c>
      <c r="C94" s="5" t="str">
        <f t="shared" si="3"/>
        <v>novembro</v>
      </c>
      <c r="D94" s="6" t="s">
        <v>13</v>
      </c>
      <c r="E94" s="6" t="s">
        <v>16</v>
      </c>
      <c r="F94" s="6">
        <v>1</v>
      </c>
      <c r="G94" s="7">
        <v>297.5</v>
      </c>
      <c r="H94" s="7">
        <f t="shared" si="2"/>
        <v>297.5</v>
      </c>
      <c r="I94" s="6" t="s">
        <v>19</v>
      </c>
    </row>
    <row r="95" spans="2:9" x14ac:dyDescent="0.3">
      <c r="B95" s="5">
        <v>45985</v>
      </c>
      <c r="C95" s="5" t="str">
        <f t="shared" si="3"/>
        <v>novembro</v>
      </c>
      <c r="D95" s="6" t="s">
        <v>9</v>
      </c>
      <c r="E95" s="6" t="s">
        <v>18</v>
      </c>
      <c r="F95" s="6">
        <v>1</v>
      </c>
      <c r="G95" s="7">
        <v>2289</v>
      </c>
      <c r="H95" s="7">
        <f t="shared" si="2"/>
        <v>2289</v>
      </c>
      <c r="I95" s="6" t="s">
        <v>20</v>
      </c>
    </row>
    <row r="96" spans="2:9" x14ac:dyDescent="0.3">
      <c r="B96" s="5">
        <v>45986</v>
      </c>
      <c r="C96" s="5" t="str">
        <f t="shared" si="3"/>
        <v>novembro</v>
      </c>
      <c r="D96" s="6" t="s">
        <v>7</v>
      </c>
      <c r="E96" s="6" t="s">
        <v>17</v>
      </c>
      <c r="F96" s="6">
        <v>1</v>
      </c>
      <c r="G96" s="7">
        <v>677.87</v>
      </c>
      <c r="H96" s="7">
        <f t="shared" si="2"/>
        <v>677.87</v>
      </c>
      <c r="I96" s="6" t="s">
        <v>20</v>
      </c>
    </row>
    <row r="97" spans="2:9" x14ac:dyDescent="0.3">
      <c r="B97" s="5">
        <v>45986</v>
      </c>
      <c r="C97" s="5" t="str">
        <f t="shared" si="3"/>
        <v>novembro</v>
      </c>
      <c r="D97" s="6" t="s">
        <v>11</v>
      </c>
      <c r="E97" s="6" t="s">
        <v>16</v>
      </c>
      <c r="F97" s="6">
        <v>1</v>
      </c>
      <c r="G97" s="7">
        <v>54.99</v>
      </c>
      <c r="H97" s="7">
        <f t="shared" si="2"/>
        <v>54.99</v>
      </c>
      <c r="I97" s="6" t="s">
        <v>19</v>
      </c>
    </row>
    <row r="98" spans="2:9" x14ac:dyDescent="0.3">
      <c r="B98" s="5">
        <v>45986</v>
      </c>
      <c r="C98" s="5" t="str">
        <f t="shared" si="3"/>
        <v>novembro</v>
      </c>
      <c r="D98" s="6" t="s">
        <v>8</v>
      </c>
      <c r="E98" s="6" t="s">
        <v>17</v>
      </c>
      <c r="F98" s="6">
        <v>1</v>
      </c>
      <c r="G98" s="7">
        <v>378.8</v>
      </c>
      <c r="H98" s="7">
        <f t="shared" si="2"/>
        <v>378.8</v>
      </c>
      <c r="I98" s="6" t="s">
        <v>19</v>
      </c>
    </row>
    <row r="99" spans="2:9" x14ac:dyDescent="0.3">
      <c r="B99" s="5">
        <v>45988</v>
      </c>
      <c r="C99" s="5" t="str">
        <f t="shared" si="3"/>
        <v>novembro</v>
      </c>
      <c r="D99" s="6" t="s">
        <v>8</v>
      </c>
      <c r="E99" s="6" t="s">
        <v>17</v>
      </c>
      <c r="F99" s="6">
        <v>2</v>
      </c>
      <c r="G99" s="7">
        <v>378.8</v>
      </c>
      <c r="H99" s="7">
        <f t="shared" si="2"/>
        <v>757.6</v>
      </c>
      <c r="I99" s="6" t="s">
        <v>19</v>
      </c>
    </row>
    <row r="100" spans="2:9" x14ac:dyDescent="0.3">
      <c r="B100" s="5">
        <v>45988</v>
      </c>
      <c r="C100" s="5" t="str">
        <f t="shared" si="3"/>
        <v>novembro</v>
      </c>
      <c r="D100" s="6" t="s">
        <v>15</v>
      </c>
      <c r="E100" s="6" t="s">
        <v>18</v>
      </c>
      <c r="F100" s="6">
        <v>1</v>
      </c>
      <c r="G100" s="7">
        <v>1090.8</v>
      </c>
      <c r="H100" s="7">
        <f t="shared" si="2"/>
        <v>1090.8</v>
      </c>
      <c r="I100" s="6" t="s">
        <v>20</v>
      </c>
    </row>
    <row r="101" spans="2:9" x14ac:dyDescent="0.3">
      <c r="B101" s="5">
        <v>45989</v>
      </c>
      <c r="C101" s="5" t="str">
        <f t="shared" si="3"/>
        <v>novembro</v>
      </c>
      <c r="D101" s="6" t="s">
        <v>12</v>
      </c>
      <c r="E101" s="6" t="s">
        <v>16</v>
      </c>
      <c r="F101" s="6">
        <v>1</v>
      </c>
      <c r="G101" s="7">
        <v>107.3</v>
      </c>
      <c r="H101" s="7">
        <f t="shared" si="2"/>
        <v>107.3</v>
      </c>
      <c r="I101" s="6" t="s">
        <v>20</v>
      </c>
    </row>
    <row r="102" spans="2:9" x14ac:dyDescent="0.3">
      <c r="B102" s="5">
        <v>45989</v>
      </c>
      <c r="C102" s="5" t="str">
        <f t="shared" si="3"/>
        <v>novembro</v>
      </c>
      <c r="D102" s="6" t="s">
        <v>8</v>
      </c>
      <c r="E102" s="6" t="s">
        <v>17</v>
      </c>
      <c r="F102" s="6">
        <v>1</v>
      </c>
      <c r="G102" s="7">
        <v>378.8</v>
      </c>
      <c r="H102" s="7">
        <f t="shared" si="2"/>
        <v>378.8</v>
      </c>
      <c r="I102" s="6" t="s">
        <v>20</v>
      </c>
    </row>
    <row r="103" spans="2:9" x14ac:dyDescent="0.3">
      <c r="B103" s="5">
        <v>45994</v>
      </c>
      <c r="C103" s="5" t="str">
        <f t="shared" si="3"/>
        <v>dezembro</v>
      </c>
      <c r="D103" s="6" t="s">
        <v>10</v>
      </c>
      <c r="E103" s="6" t="s">
        <v>16</v>
      </c>
      <c r="F103" s="6">
        <v>2</v>
      </c>
      <c r="G103" s="7">
        <v>79.900000000000006</v>
      </c>
      <c r="H103" s="7">
        <f t="shared" si="2"/>
        <v>159.80000000000001</v>
      </c>
      <c r="I103" s="6" t="s">
        <v>19</v>
      </c>
    </row>
    <row r="104" spans="2:9" x14ac:dyDescent="0.3">
      <c r="B104" s="5">
        <v>45998</v>
      </c>
      <c r="C104" s="5" t="str">
        <f t="shared" si="3"/>
        <v>dezembro</v>
      </c>
      <c r="D104" s="6" t="s">
        <v>8</v>
      </c>
      <c r="E104" s="6" t="s">
        <v>17</v>
      </c>
      <c r="F104" s="6">
        <v>1</v>
      </c>
      <c r="G104" s="7">
        <v>378.8</v>
      </c>
      <c r="H104" s="7">
        <f t="shared" si="2"/>
        <v>378.8</v>
      </c>
      <c r="I104" s="6" t="s">
        <v>19</v>
      </c>
    </row>
    <row r="105" spans="2:9" x14ac:dyDescent="0.3">
      <c r="B105" s="5">
        <v>45999</v>
      </c>
      <c r="C105" s="5" t="str">
        <f t="shared" si="3"/>
        <v>dezembro</v>
      </c>
      <c r="D105" s="6" t="s">
        <v>10</v>
      </c>
      <c r="E105" s="6" t="s">
        <v>16</v>
      </c>
      <c r="F105" s="6">
        <v>2</v>
      </c>
      <c r="G105" s="7">
        <v>79.900000000000006</v>
      </c>
      <c r="H105" s="7">
        <f t="shared" si="2"/>
        <v>159.80000000000001</v>
      </c>
      <c r="I105" s="6" t="s">
        <v>20</v>
      </c>
    </row>
    <row r="106" spans="2:9" x14ac:dyDescent="0.3">
      <c r="B106" s="5">
        <v>45999</v>
      </c>
      <c r="C106" s="5" t="str">
        <f t="shared" si="3"/>
        <v>dezembro</v>
      </c>
      <c r="D106" s="6" t="s">
        <v>6</v>
      </c>
      <c r="E106" s="6" t="s">
        <v>17</v>
      </c>
      <c r="F106" s="6">
        <v>1</v>
      </c>
      <c r="G106" s="7">
        <v>1699</v>
      </c>
      <c r="H106" s="7">
        <f t="shared" si="2"/>
        <v>1699</v>
      </c>
      <c r="I106" s="6" t="s">
        <v>19</v>
      </c>
    </row>
    <row r="107" spans="2:9" x14ac:dyDescent="0.3">
      <c r="B107" s="5">
        <v>45999</v>
      </c>
      <c r="C107" s="5" t="str">
        <f t="shared" si="3"/>
        <v>dezembro</v>
      </c>
      <c r="D107" s="6" t="s">
        <v>14</v>
      </c>
      <c r="E107" s="6" t="s">
        <v>18</v>
      </c>
      <c r="F107" s="6">
        <v>1</v>
      </c>
      <c r="G107" s="7">
        <v>1749.22</v>
      </c>
      <c r="H107" s="7">
        <f t="shared" si="2"/>
        <v>1749.22</v>
      </c>
      <c r="I107" s="6" t="s">
        <v>19</v>
      </c>
    </row>
    <row r="108" spans="2:9" x14ac:dyDescent="0.3">
      <c r="B108" s="5">
        <v>46001</v>
      </c>
      <c r="C108" s="5" t="str">
        <f t="shared" si="3"/>
        <v>dezembro</v>
      </c>
      <c r="D108" s="6" t="s">
        <v>6</v>
      </c>
      <c r="E108" s="6" t="s">
        <v>17</v>
      </c>
      <c r="F108" s="6">
        <v>1</v>
      </c>
      <c r="G108" s="7">
        <v>1699</v>
      </c>
      <c r="H108" s="7">
        <f t="shared" si="2"/>
        <v>1699</v>
      </c>
      <c r="I108" s="6" t="s">
        <v>20</v>
      </c>
    </row>
    <row r="109" spans="2:9" x14ac:dyDescent="0.3">
      <c r="B109" s="5">
        <v>46004</v>
      </c>
      <c r="C109" s="5" t="str">
        <f t="shared" si="3"/>
        <v>dezembro</v>
      </c>
      <c r="D109" s="6" t="s">
        <v>12</v>
      </c>
      <c r="E109" s="6" t="s">
        <v>16</v>
      </c>
      <c r="F109" s="6">
        <v>2</v>
      </c>
      <c r="G109" s="7">
        <v>107.3</v>
      </c>
      <c r="H109" s="7">
        <f t="shared" si="2"/>
        <v>214.6</v>
      </c>
      <c r="I109" s="6" t="s">
        <v>19</v>
      </c>
    </row>
    <row r="110" spans="2:9" x14ac:dyDescent="0.3">
      <c r="B110" s="5">
        <v>46005</v>
      </c>
      <c r="C110" s="5" t="str">
        <f t="shared" si="3"/>
        <v>dezembro</v>
      </c>
      <c r="D110" s="6" t="s">
        <v>13</v>
      </c>
      <c r="E110" s="6" t="s">
        <v>16</v>
      </c>
      <c r="F110" s="6">
        <v>1</v>
      </c>
      <c r="G110" s="7">
        <v>297.5</v>
      </c>
      <c r="H110" s="7">
        <f t="shared" si="2"/>
        <v>297.5</v>
      </c>
      <c r="I110" s="6" t="s">
        <v>20</v>
      </c>
    </row>
    <row r="111" spans="2:9" x14ac:dyDescent="0.3">
      <c r="B111" s="5">
        <v>46005</v>
      </c>
      <c r="C111" s="5" t="str">
        <f t="shared" si="3"/>
        <v>dezembro</v>
      </c>
      <c r="D111" s="6" t="s">
        <v>11</v>
      </c>
      <c r="E111" s="6" t="s">
        <v>16</v>
      </c>
      <c r="F111" s="6">
        <v>3</v>
      </c>
      <c r="G111" s="7">
        <v>54.99</v>
      </c>
      <c r="H111" s="7">
        <f t="shared" si="2"/>
        <v>164.97</v>
      </c>
      <c r="I111" s="6" t="s">
        <v>19</v>
      </c>
    </row>
    <row r="112" spans="2:9" x14ac:dyDescent="0.3">
      <c r="B112" s="5">
        <v>46009</v>
      </c>
      <c r="C112" s="5" t="str">
        <f t="shared" si="3"/>
        <v>dezembro</v>
      </c>
      <c r="D112" s="6" t="s">
        <v>6</v>
      </c>
      <c r="E112" s="6" t="s">
        <v>17</v>
      </c>
      <c r="F112" s="6">
        <v>1</v>
      </c>
      <c r="G112" s="7">
        <v>1699</v>
      </c>
      <c r="H112" s="7">
        <f t="shared" si="2"/>
        <v>1699</v>
      </c>
      <c r="I112" s="6" t="s">
        <v>19</v>
      </c>
    </row>
    <row r="113" spans="2:9" x14ac:dyDescent="0.3">
      <c r="B113" s="5">
        <v>46010</v>
      </c>
      <c r="C113" s="5" t="str">
        <f t="shared" si="3"/>
        <v>dezembro</v>
      </c>
      <c r="D113" s="6" t="s">
        <v>14</v>
      </c>
      <c r="E113" s="6" t="s">
        <v>18</v>
      </c>
      <c r="F113" s="6">
        <v>2</v>
      </c>
      <c r="G113" s="7">
        <v>1749.22</v>
      </c>
      <c r="H113" s="7">
        <f t="shared" si="2"/>
        <v>3498.44</v>
      </c>
      <c r="I113" s="6" t="s">
        <v>19</v>
      </c>
    </row>
    <row r="114" spans="2:9" x14ac:dyDescent="0.3">
      <c r="B114" s="5">
        <v>46010</v>
      </c>
      <c r="C114" s="5" t="str">
        <f t="shared" si="3"/>
        <v>dezembro</v>
      </c>
      <c r="D114" s="6" t="s">
        <v>9</v>
      </c>
      <c r="E114" s="6" t="s">
        <v>18</v>
      </c>
      <c r="F114" s="6">
        <v>1</v>
      </c>
      <c r="G114" s="7">
        <v>2289</v>
      </c>
      <c r="H114" s="7">
        <f t="shared" si="2"/>
        <v>2289</v>
      </c>
      <c r="I114" s="6" t="s">
        <v>20</v>
      </c>
    </row>
    <row r="115" spans="2:9" x14ac:dyDescent="0.3">
      <c r="B115" s="5">
        <v>46013</v>
      </c>
      <c r="C115" s="5" t="str">
        <f t="shared" si="3"/>
        <v>dezembro</v>
      </c>
      <c r="D115" s="6" t="s">
        <v>15</v>
      </c>
      <c r="E115" s="6" t="s">
        <v>18</v>
      </c>
      <c r="F115" s="6">
        <v>2</v>
      </c>
      <c r="G115" s="7">
        <v>1090.8</v>
      </c>
      <c r="H115" s="7">
        <f t="shared" si="2"/>
        <v>2181.6</v>
      </c>
      <c r="I115" s="6" t="s">
        <v>19</v>
      </c>
    </row>
    <row r="116" spans="2:9" x14ac:dyDescent="0.3">
      <c r="B116" s="5">
        <v>46014</v>
      </c>
      <c r="C116" s="5" t="str">
        <f t="shared" si="3"/>
        <v>dezembro</v>
      </c>
      <c r="D116" s="6" t="s">
        <v>15</v>
      </c>
      <c r="E116" s="6" t="s">
        <v>18</v>
      </c>
      <c r="F116" s="6">
        <v>1</v>
      </c>
      <c r="G116" s="7">
        <v>1090.8</v>
      </c>
      <c r="H116" s="7">
        <f t="shared" si="2"/>
        <v>1090.8</v>
      </c>
      <c r="I116" s="6" t="s">
        <v>19</v>
      </c>
    </row>
    <row r="117" spans="2:9" x14ac:dyDescent="0.3">
      <c r="B117" s="5">
        <v>46014</v>
      </c>
      <c r="C117" s="5" t="str">
        <f t="shared" si="3"/>
        <v>dezembro</v>
      </c>
      <c r="D117" s="6" t="s">
        <v>11</v>
      </c>
      <c r="E117" s="6" t="s">
        <v>16</v>
      </c>
      <c r="F117" s="6">
        <v>2</v>
      </c>
      <c r="G117" s="7">
        <v>54.99</v>
      </c>
      <c r="H117" s="7">
        <f t="shared" si="2"/>
        <v>109.98</v>
      </c>
      <c r="I117" s="6" t="s">
        <v>20</v>
      </c>
    </row>
    <row r="118" spans="2:9" x14ac:dyDescent="0.3">
      <c r="B118" s="5">
        <v>46014</v>
      </c>
      <c r="C118" s="5" t="str">
        <f t="shared" si="3"/>
        <v>dezembro</v>
      </c>
      <c r="D118" s="6" t="s">
        <v>9</v>
      </c>
      <c r="E118" s="6" t="s">
        <v>18</v>
      </c>
      <c r="F118" s="6">
        <v>1</v>
      </c>
      <c r="G118" s="7">
        <v>2289</v>
      </c>
      <c r="H118" s="7">
        <f t="shared" si="2"/>
        <v>2289</v>
      </c>
      <c r="I118" s="6" t="s">
        <v>20</v>
      </c>
    </row>
    <row r="119" spans="2:9" x14ac:dyDescent="0.3">
      <c r="B119" s="5">
        <v>46015</v>
      </c>
      <c r="C119" s="5" t="str">
        <f t="shared" si="3"/>
        <v>dezembro</v>
      </c>
      <c r="D119" s="6" t="s">
        <v>12</v>
      </c>
      <c r="E119" s="6" t="s">
        <v>16</v>
      </c>
      <c r="F119" s="6">
        <v>1</v>
      </c>
      <c r="G119" s="7">
        <v>107.3</v>
      </c>
      <c r="H119" s="7">
        <f t="shared" si="2"/>
        <v>107.3</v>
      </c>
      <c r="I119" s="6" t="s">
        <v>19</v>
      </c>
    </row>
    <row r="120" spans="2:9" x14ac:dyDescent="0.3">
      <c r="B120" s="5">
        <v>46018</v>
      </c>
      <c r="C120" s="5" t="str">
        <f t="shared" si="3"/>
        <v>dezembro</v>
      </c>
      <c r="D120" s="6" t="s">
        <v>13</v>
      </c>
      <c r="E120" s="6" t="s">
        <v>16</v>
      </c>
      <c r="F120" s="6">
        <v>1</v>
      </c>
      <c r="G120" s="7">
        <v>297.5</v>
      </c>
      <c r="H120" s="7">
        <f t="shared" si="2"/>
        <v>297.5</v>
      </c>
      <c r="I120" s="6" t="s">
        <v>19</v>
      </c>
    </row>
    <row r="121" spans="2:9" x14ac:dyDescent="0.3">
      <c r="B121" s="5">
        <v>46020</v>
      </c>
      <c r="C121" s="5" t="str">
        <f t="shared" si="3"/>
        <v>dezembro</v>
      </c>
      <c r="D121" s="6" t="s">
        <v>13</v>
      </c>
      <c r="E121" s="6" t="s">
        <v>16</v>
      </c>
      <c r="F121" s="6">
        <v>1</v>
      </c>
      <c r="G121" s="7">
        <v>297.5</v>
      </c>
      <c r="H121" s="7">
        <f t="shared" si="2"/>
        <v>297.5</v>
      </c>
      <c r="I121" s="6" t="s">
        <v>19</v>
      </c>
    </row>
    <row r="122" spans="2:9" x14ac:dyDescent="0.3">
      <c r="B122" s="5">
        <v>46021</v>
      </c>
      <c r="C122" s="5" t="str">
        <f t="shared" si="3"/>
        <v>dezembro</v>
      </c>
      <c r="D122" s="6" t="s">
        <v>8</v>
      </c>
      <c r="E122" s="6" t="s">
        <v>17</v>
      </c>
      <c r="F122" s="6">
        <v>1</v>
      </c>
      <c r="G122" s="7">
        <v>378.8</v>
      </c>
      <c r="H122" s="7">
        <f t="shared" si="2"/>
        <v>378.8</v>
      </c>
      <c r="I122" s="6" t="s">
        <v>19</v>
      </c>
    </row>
    <row r="123" spans="2:9" x14ac:dyDescent="0.3">
      <c r="B123" s="5">
        <v>46022</v>
      </c>
      <c r="C123" s="5" t="str">
        <f t="shared" si="3"/>
        <v>dezembro</v>
      </c>
      <c r="D123" s="6" t="s">
        <v>8</v>
      </c>
      <c r="E123" s="6" t="s">
        <v>17</v>
      </c>
      <c r="F123" s="6">
        <v>4</v>
      </c>
      <c r="G123" s="7">
        <v>378.8</v>
      </c>
      <c r="H123" s="7">
        <f t="shared" si="2"/>
        <v>1515.2</v>
      </c>
      <c r="I123" s="6" t="s">
        <v>20</v>
      </c>
    </row>
    <row r="124" spans="2:9" x14ac:dyDescent="0.3">
      <c r="D124" s="2"/>
    </row>
    <row r="125" spans="2:9" x14ac:dyDescent="0.3">
      <c r="D125" s="2"/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1A78-D06B-4F85-9789-30153B164793}">
  <dimension ref="B1:P25"/>
  <sheetViews>
    <sheetView workbookViewId="0">
      <selection activeCell="O12" sqref="O12"/>
    </sheetView>
  </sheetViews>
  <sheetFormatPr defaultRowHeight="14.4" x14ac:dyDescent="0.3"/>
  <cols>
    <col min="1" max="1" width="3.44140625" customWidth="1"/>
    <col min="2" max="2" width="29" customWidth="1"/>
    <col min="4" max="4" width="15.77734375" customWidth="1"/>
    <col min="5" max="5" width="15.33203125" customWidth="1"/>
    <col min="6" max="6" width="17.5546875" hidden="1" customWidth="1"/>
    <col min="7" max="7" width="26" hidden="1" customWidth="1"/>
    <col min="8" max="8" width="13.21875" customWidth="1"/>
    <col min="9" max="9" width="19.88671875" customWidth="1"/>
    <col min="10" max="10" width="11.5546875" customWidth="1"/>
  </cols>
  <sheetData>
    <row r="1" spans="2:16" ht="15" thickBot="1" x14ac:dyDescent="0.35"/>
    <row r="2" spans="2:16" x14ac:dyDescent="0.3">
      <c r="B2" s="11" t="s">
        <v>54</v>
      </c>
      <c r="D2" s="15" t="s">
        <v>24</v>
      </c>
      <c r="E2" s="16" t="s">
        <v>23</v>
      </c>
      <c r="F2" s="16" t="s">
        <v>49</v>
      </c>
      <c r="G2" s="16" t="s">
        <v>48</v>
      </c>
      <c r="H2" s="16" t="s">
        <v>25</v>
      </c>
      <c r="I2" s="17" t="s">
        <v>44</v>
      </c>
    </row>
    <row r="3" spans="2:16" ht="15" thickBot="1" x14ac:dyDescent="0.35">
      <c r="B3" s="12">
        <f>SUM(Tratamento!H:H)</f>
        <v>118910.68000000007</v>
      </c>
      <c r="D3" s="18" t="s">
        <v>26</v>
      </c>
      <c r="E3" s="7">
        <v>30000</v>
      </c>
      <c r="F3" s="10" t="s">
        <v>32</v>
      </c>
      <c r="G3" s="10" t="s">
        <v>33</v>
      </c>
      <c r="H3" s="7">
        <f>SUMIFS(Tratamento!H:H,Tratamento!B:B,F3,Tratamento!B:B,G3)</f>
        <v>36134.969999999994</v>
      </c>
      <c r="I3" s="19" t="str">
        <f t="shared" ref="I3:I8" si="0">IF(H3&gt;E3,"Sim","Não")</f>
        <v>Sim</v>
      </c>
    </row>
    <row r="4" spans="2:16" ht="15" thickBot="1" x14ac:dyDescent="0.35">
      <c r="D4" s="18" t="s">
        <v>27</v>
      </c>
      <c r="E4" s="7">
        <v>10000</v>
      </c>
      <c r="F4" s="10" t="s">
        <v>34</v>
      </c>
      <c r="G4" s="10" t="s">
        <v>39</v>
      </c>
      <c r="H4" s="7">
        <f>SUMIFS(Tratamento!H:H,Tratamento!B:B,F4,Tratamento!B:B,G4)</f>
        <v>7739.3000000000011</v>
      </c>
      <c r="I4" s="19" t="str">
        <f t="shared" si="0"/>
        <v>Não</v>
      </c>
    </row>
    <row r="5" spans="2:16" x14ac:dyDescent="0.3">
      <c r="B5" s="11" t="s">
        <v>53</v>
      </c>
      <c r="D5" s="18" t="s">
        <v>28</v>
      </c>
      <c r="E5" s="7">
        <v>15000</v>
      </c>
      <c r="F5" s="10" t="s">
        <v>35</v>
      </c>
      <c r="G5" s="10" t="s">
        <v>42</v>
      </c>
      <c r="H5" s="7">
        <f>SUMIFS(Tratamento!H:H,Tratamento!B:B,F5,Tratamento!B:B,G5)</f>
        <v>15329.399999999996</v>
      </c>
      <c r="I5" s="19" t="str">
        <f t="shared" si="0"/>
        <v>Sim</v>
      </c>
    </row>
    <row r="6" spans="2:16" ht="15" thickBot="1" x14ac:dyDescent="0.35">
      <c r="B6" s="13" t="s">
        <v>55</v>
      </c>
      <c r="D6" s="18" t="s">
        <v>29</v>
      </c>
      <c r="E6" s="7">
        <v>15000</v>
      </c>
      <c r="F6" s="10" t="s">
        <v>36</v>
      </c>
      <c r="G6" s="10" t="s">
        <v>40</v>
      </c>
      <c r="H6" s="7">
        <f>SUMIFS(Tratamento!H:H,Tratamento!B:B,F6,Tratamento!B:B,G6)</f>
        <v>13309.319999999998</v>
      </c>
      <c r="I6" s="19" t="str">
        <f t="shared" si="0"/>
        <v>Não</v>
      </c>
    </row>
    <row r="7" spans="2:16" ht="15" thickBot="1" x14ac:dyDescent="0.35">
      <c r="D7" s="18" t="s">
        <v>30</v>
      </c>
      <c r="E7" s="7">
        <v>20000</v>
      </c>
      <c r="F7" s="10" t="s">
        <v>37</v>
      </c>
      <c r="G7" s="10" t="s">
        <v>43</v>
      </c>
      <c r="H7" s="7">
        <f>SUMIFS(Tratamento!H:H,Tratamento!B:B,F7,Tratamento!B:B,G7)</f>
        <v>24120.879999999994</v>
      </c>
      <c r="I7" s="19" t="str">
        <f t="shared" si="0"/>
        <v>Sim</v>
      </c>
    </row>
    <row r="8" spans="2:16" ht="15" thickBot="1" x14ac:dyDescent="0.35">
      <c r="B8" s="11" t="s">
        <v>51</v>
      </c>
      <c r="D8" s="20" t="s">
        <v>31</v>
      </c>
      <c r="E8" s="21">
        <v>25000</v>
      </c>
      <c r="F8" s="22" t="s">
        <v>38</v>
      </c>
      <c r="G8" s="22" t="s">
        <v>41</v>
      </c>
      <c r="H8" s="21">
        <f>SUMIFS(Tratamento!H:H,Tratamento!B:B,F8,Tratamento!B:B,G8)</f>
        <v>22276.81</v>
      </c>
      <c r="I8" s="23" t="str">
        <f t="shared" si="0"/>
        <v>Não</v>
      </c>
    </row>
    <row r="9" spans="2:16" ht="15" thickBot="1" x14ac:dyDescent="0.35">
      <c r="B9" s="13" t="s">
        <v>52</v>
      </c>
    </row>
    <row r="10" spans="2:16" ht="15" thickBot="1" x14ac:dyDescent="0.35">
      <c r="D10" s="30" t="s">
        <v>2</v>
      </c>
      <c r="E10" s="31" t="s">
        <v>25</v>
      </c>
      <c r="I10" s="24" t="s">
        <v>47</v>
      </c>
      <c r="J10" s="25" t="s">
        <v>21</v>
      </c>
      <c r="K10" s="2"/>
      <c r="N10" s="2"/>
    </row>
    <row r="11" spans="2:16" x14ac:dyDescent="0.3">
      <c r="B11" s="11" t="s">
        <v>57</v>
      </c>
      <c r="D11" s="18" t="s">
        <v>18</v>
      </c>
      <c r="E11" s="26">
        <f>SUMIFS(Tratamento!H:H,Tratamento!E:E,D11)</f>
        <v>56515.380000000012</v>
      </c>
      <c r="I11" s="18" t="s">
        <v>6</v>
      </c>
      <c r="J11" s="26">
        <v>1699</v>
      </c>
      <c r="K11" s="3"/>
      <c r="N11" s="3"/>
    </row>
    <row r="12" spans="2:16" ht="15" thickBot="1" x14ac:dyDescent="0.35">
      <c r="B12" s="13" t="s">
        <v>50</v>
      </c>
      <c r="D12" s="18" t="s">
        <v>17</v>
      </c>
      <c r="E12" s="26">
        <f>SUMIFS(Tratamento!H:H,Tratamento!E:E,D12)</f>
        <v>48565.240000000005</v>
      </c>
      <c r="I12" s="18" t="s">
        <v>7</v>
      </c>
      <c r="J12" s="26">
        <v>677.87</v>
      </c>
      <c r="K12" s="3"/>
      <c r="N12" s="3"/>
    </row>
    <row r="13" spans="2:16" ht="15" thickBot="1" x14ac:dyDescent="0.35">
      <c r="D13" s="20" t="s">
        <v>16</v>
      </c>
      <c r="E13" s="27">
        <f>SUMIFS(Tratamento!H:H,Tratamento!E:E,D13)</f>
        <v>13830.059999999992</v>
      </c>
      <c r="I13" s="20" t="s">
        <v>8</v>
      </c>
      <c r="J13" s="27">
        <v>378.8</v>
      </c>
      <c r="K13" s="3"/>
      <c r="N13" s="3"/>
    </row>
    <row r="14" spans="2:16" ht="15" thickBot="1" x14ac:dyDescent="0.35">
      <c r="B14" s="11" t="s">
        <v>56</v>
      </c>
      <c r="I14" s="2"/>
      <c r="J14" s="2"/>
      <c r="K14" s="2"/>
      <c r="N14" s="3"/>
      <c r="O14" s="2"/>
      <c r="P14" s="2"/>
    </row>
    <row r="15" spans="2:16" ht="15" thickBot="1" x14ac:dyDescent="0.35">
      <c r="B15" s="14">
        <f>COUNTIFS(I3:I8,"Sim")/COUNTA(I3:I8)</f>
        <v>0.5</v>
      </c>
      <c r="D15" s="30" t="s">
        <v>1</v>
      </c>
      <c r="E15" s="31" t="s">
        <v>25</v>
      </c>
      <c r="I15" s="24" t="s">
        <v>45</v>
      </c>
      <c r="J15" s="25" t="s">
        <v>21</v>
      </c>
    </row>
    <row r="16" spans="2:16" x14ac:dyDescent="0.3">
      <c r="D16" s="28" t="s">
        <v>9</v>
      </c>
      <c r="E16" s="26">
        <f>SUMIFS(Tratamento!H:H,Tratamento!D:D,D16)</f>
        <v>32046</v>
      </c>
      <c r="I16" s="18" t="s">
        <v>10</v>
      </c>
      <c r="J16" s="26">
        <v>79.900000000000006</v>
      </c>
    </row>
    <row r="17" spans="4:10" x14ac:dyDescent="0.3">
      <c r="D17" s="28" t="s">
        <v>6</v>
      </c>
      <c r="E17" s="26">
        <f>SUMIFS(Tratamento!H:H,Tratamento!D:D,D17)</f>
        <v>30582</v>
      </c>
      <c r="I17" s="18" t="s">
        <v>11</v>
      </c>
      <c r="J17" s="26">
        <v>54.99</v>
      </c>
    </row>
    <row r="18" spans="4:10" x14ac:dyDescent="0.3">
      <c r="D18" s="28" t="s">
        <v>14</v>
      </c>
      <c r="E18" s="26">
        <f>SUMIFS(Tratamento!H:H,Tratamento!D:D,D18)</f>
        <v>15742.98</v>
      </c>
      <c r="I18" s="18" t="s">
        <v>12</v>
      </c>
      <c r="J18" s="26">
        <v>107.3</v>
      </c>
    </row>
    <row r="19" spans="4:10" ht="15" thickBot="1" x14ac:dyDescent="0.35">
      <c r="D19" s="28" t="s">
        <v>8</v>
      </c>
      <c r="E19" s="26">
        <f>SUMIFS(Tratamento!H:H,Tratamento!D:D,D19)</f>
        <v>9848.8000000000029</v>
      </c>
      <c r="I19" s="20" t="s">
        <v>13</v>
      </c>
      <c r="J19" s="27">
        <v>297.5</v>
      </c>
    </row>
    <row r="20" spans="4:10" ht="15" thickBot="1" x14ac:dyDescent="0.35">
      <c r="D20" s="28" t="s">
        <v>15</v>
      </c>
      <c r="E20" s="26">
        <f>SUMIFS(Tratamento!H:H,Tratamento!D:D,D20)</f>
        <v>8726.4</v>
      </c>
    </row>
    <row r="21" spans="4:10" x14ac:dyDescent="0.3">
      <c r="D21" s="28" t="s">
        <v>13</v>
      </c>
      <c r="E21" s="26">
        <f>SUMIFS(Tratamento!H:H,Tratamento!D:D,D21)</f>
        <v>8330</v>
      </c>
      <c r="I21" s="24" t="s">
        <v>46</v>
      </c>
      <c r="J21" s="25" t="s">
        <v>21</v>
      </c>
    </row>
    <row r="22" spans="4:10" x14ac:dyDescent="0.3">
      <c r="D22" s="28" t="s">
        <v>7</v>
      </c>
      <c r="E22" s="26">
        <f>SUMIFS(Tratamento!H:H,Tratamento!D:D,D22)</f>
        <v>8134.44</v>
      </c>
      <c r="I22" s="18" t="s">
        <v>9</v>
      </c>
      <c r="J22" s="26">
        <v>2289</v>
      </c>
    </row>
    <row r="23" spans="4:10" x14ac:dyDescent="0.3">
      <c r="D23" s="28" t="s">
        <v>10</v>
      </c>
      <c r="E23" s="26">
        <f>SUMIFS(Tratamento!H:H,Tratamento!D:D,D23)</f>
        <v>2476.900000000001</v>
      </c>
      <c r="I23" s="18" t="s">
        <v>14</v>
      </c>
      <c r="J23" s="26">
        <v>1749.22</v>
      </c>
    </row>
    <row r="24" spans="4:10" ht="15" thickBot="1" x14ac:dyDescent="0.35">
      <c r="D24" s="28" t="s">
        <v>12</v>
      </c>
      <c r="E24" s="26">
        <f>SUMIFS(Tratamento!H:H,Tratamento!D:D,D24)</f>
        <v>2253.3000000000002</v>
      </c>
      <c r="I24" s="20" t="s">
        <v>15</v>
      </c>
      <c r="J24" s="27">
        <v>1090.8</v>
      </c>
    </row>
    <row r="25" spans="4:10" ht="15" thickBot="1" x14ac:dyDescent="0.35">
      <c r="D25" s="29" t="s">
        <v>11</v>
      </c>
      <c r="E25" s="27">
        <f>SUMIFS(Tratamento!H:H,Tratamento!D:D,D25)</f>
        <v>769.86</v>
      </c>
    </row>
  </sheetData>
  <conditionalFormatting sqref="I3:I8">
    <cfRule type="cellIs" dxfId="1" priority="1" operator="equal">
      <formula>"Não"</formula>
    </cfRule>
    <cfRule type="cellIs" dxfId="0" priority="2" operator="equal">
      <formula>"Sim"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337D-8BD7-4817-8388-E5E9400EC793}">
  <dimension ref="A1"/>
  <sheetViews>
    <sheetView tabSelected="1" workbookViewId="0">
      <selection activeCell="D10" sqref="D10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11</vt:i4>
      </vt:variant>
    </vt:vector>
  </HeadingPairs>
  <TitlesOfParts>
    <vt:vector size="15" baseType="lpstr">
      <vt:lpstr>Dados_Brutos</vt:lpstr>
      <vt:lpstr>Tratamento</vt:lpstr>
      <vt:lpstr>Analise</vt:lpstr>
      <vt:lpstr>Dashboard</vt:lpstr>
      <vt:lpstr>Categoria_que_mais_lucrou</vt:lpstr>
      <vt:lpstr>Faturamento_Casa</vt:lpstr>
      <vt:lpstr>Faturamento_Eletrodomestico</vt:lpstr>
      <vt:lpstr>Faturamento_Mensal</vt:lpstr>
      <vt:lpstr>Faturamento_por_categoria</vt:lpstr>
      <vt:lpstr>Faturamento_por_produto</vt:lpstr>
      <vt:lpstr>Faturamento_Roupa</vt:lpstr>
      <vt:lpstr>Faturamento_Total</vt:lpstr>
      <vt:lpstr>Mês_que_mais_faturou</vt:lpstr>
      <vt:lpstr>Porcentagem_de_metas_atingidas</vt:lpstr>
      <vt:lpstr>Produto_que_mais_lucrou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DIAS DA SILVA</dc:creator>
  <cp:lastModifiedBy>VICTOR DIAS DA SILVA</cp:lastModifiedBy>
  <dcterms:created xsi:type="dcterms:W3CDTF">2025-12-17T21:22:00Z</dcterms:created>
  <dcterms:modified xsi:type="dcterms:W3CDTF">2025-12-18T16:02:30Z</dcterms:modified>
</cp:coreProperties>
</file>